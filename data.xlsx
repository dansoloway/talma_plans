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pt Obj" sheetId="1" r:id="rId5"/>
    <sheet state="visible" name="Focus Areas" sheetId="2" r:id="rId6"/>
    <sheet state="visible" name="Terms" sheetId="3" r:id="rId7"/>
    <sheet state="visible" name="Pedagogy" sheetId="4" r:id="rId8"/>
    <sheet state="visible" name="Resources - USA" sheetId="5" r:id="rId9"/>
    <sheet state="visible" name="Full Year" sheetId="6" r:id="rId10"/>
    <sheet state="visible" name="Finance" sheetId="7" r:id="rId11"/>
    <sheet state="visible" name="HR" sheetId="8" r:id="rId12"/>
    <sheet state="visible" name="Resource - ISR" sheetId="9" r:id="rId13"/>
    <sheet state="visible" name="Tech" sheetId="10" r:id="rId14"/>
  </sheets>
  <definedNames>
    <definedName name="dept_objs_resource_isr">'Dept Obj'!$H$3:$H$22</definedName>
    <definedName name="dept_objs_fy">'Dept Obj'!$B$3:$B$29</definedName>
    <definedName name="depts">Terms!$C$2:$C$19</definedName>
    <definedName name="focus_areas">'Focus Areas'!$A$3:$A$100</definedName>
    <definedName name="status">Terms!$A$2:$A$15</definedName>
    <definedName name="strategic_goals">Terms!$E$2:$E$8</definedName>
    <definedName name="priority">Terms!$B$2:$B$17</definedName>
    <definedName name="dept_objs_tech">'Dept Obj'!$J$3:$J$25</definedName>
    <definedName name="people">Terms!$F$2:$F$1000</definedName>
    <definedName name="dept_objs_resources_isr">'Dept Obj'!$H$3:$H$25</definedName>
    <definedName name="dept_objs_hr">'Dept Obj'!$C$3:$C$39</definedName>
    <definedName name="quarters">Terms!$D$2:$D$9</definedName>
    <definedName name="partners">Terms!$C$2:$C$1000</definedName>
    <definedName name="dept_objs_finance">'Dept Obj'!$A$3:$A$17</definedName>
    <definedName name="dept_objs_resources_usa">'Dept Obj'!$I$3:$I$24</definedName>
    <definedName name="dept_objs_pedagogy">'Dept Obj'!$G$3:$G$20</definedName>
    <definedName name="objs_map">#REF!</definedName>
    <definedName hidden="1" localSheetId="8" name="_xlnm._FilterDatabase">'Resource - ISR'!$A$1:$AB$77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tc={22c1ad0b-dcd3-4331-a280-232f05b722b5}</author>
  </authors>
  <commentList>
    <comment authorId="0" xr:uid="{22c1ad0b-dcd3-4331-a280-232f05b722b5}" ref="A1">
      <text>
        <t xml:space="preserve">[Threaded comment]
 Your version of Excel allows you to read this threaded comment; however, any edits to it will get removed if the file is opened in a newer version of Excel. Learn more: https://go.microsoft.com/fwlink/?linkid=870924
Comment:
	לשנות את זה לפי מה שכתוב בהערות
Reply:
	לא מבין, סורי 
@dvir.ido@talmaisrael.com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tc={1f4e831b-b49b-4ddc-a5d1-b965c5c7434d}</author>
  </authors>
  <commentList>
    <comment authorId="0" xr:uid="{1f4e831b-b49b-4ddc-a5d1-b965c5c7434d}" ref="A12">
      <text>
        <t xml:space="preserve">[Threaded comment]
 Your version of Excel allows you to read this threaded comment; however, any edits to it will get removed if the file is opened in a newer version of Excel. Learn more: https://go.microsoft.com/fwlink/?linkid=870924
Comment:
	@dvir.ido@talmaisrael.com - this needs to repeat every week
</t>
      </text>
    </comment>
  </commentList>
</comments>
</file>

<file path=xl/sharedStrings.xml><?xml version="1.0" encoding="utf-8"?>
<sst xmlns="http://schemas.openxmlformats.org/spreadsheetml/2006/main" count="4157" uniqueCount="880">
  <si>
    <t>DEPT OBJS</t>
  </si>
  <si>
    <t>Full Year</t>
  </si>
  <si>
    <t>HR</t>
  </si>
  <si>
    <t>Management</t>
  </si>
  <si>
    <t>Marketing</t>
  </si>
  <si>
    <t>Operations</t>
  </si>
  <si>
    <t>Pedagogy</t>
  </si>
  <si>
    <t>Resources - Israel</t>
  </si>
  <si>
    <t>Resources - USA</t>
  </si>
  <si>
    <t>Tech</t>
  </si>
  <si>
    <t>Choose Internal Audit Committee</t>
  </si>
  <si>
    <t>Recruit fellows</t>
  </si>
  <si>
    <t>Recruitment</t>
  </si>
  <si>
    <t>Improve communication and collaboration</t>
  </si>
  <si>
    <t xml:space="preserve">Optimizing development team operations </t>
  </si>
  <si>
    <t>Coordinate alumni events</t>
  </si>
  <si>
    <t>Completion of Volunteers Report</t>
  </si>
  <si>
    <t>Find Housing for Fellows</t>
  </si>
  <si>
    <t>HR Measurement &amp; Evaluation</t>
  </si>
  <si>
    <t>Evaluate and Measure TALMA programs</t>
  </si>
  <si>
    <t>Develop funding sources</t>
  </si>
  <si>
    <t>Cooperation between Resource Departments</t>
  </si>
  <si>
    <t>Improve Internal Tools</t>
  </si>
  <si>
    <t xml:space="preserve">Initiation of Additional Report – Corporate Governance </t>
  </si>
  <si>
    <t>Routine Follow-up</t>
  </si>
  <si>
    <t>Onboarding</t>
  </si>
  <si>
    <t>Hire and retain high-quality teachers effectively</t>
  </si>
  <si>
    <t>Strengthen existing funders</t>
  </si>
  <si>
    <t>Improve Professional Skills</t>
  </si>
  <si>
    <t>Improve Data Security</t>
  </si>
  <si>
    <t>Optimizing development team operations</t>
  </si>
  <si>
    <t xml:space="preserve">Review of Payroll Preparation Process </t>
  </si>
  <si>
    <t>PD</t>
  </si>
  <si>
    <t>Culture &amp; Welfare</t>
  </si>
  <si>
    <t>Strengthen Professional Development</t>
  </si>
  <si>
    <t>Develop income generating initiatives</t>
  </si>
  <si>
    <t>Recruit teachers</t>
  </si>
  <si>
    <t>Map existing hardware providers</t>
  </si>
  <si>
    <t>לתת פה שם</t>
  </si>
  <si>
    <t xml:space="preserve">Transition to Attendance Reporting in MYHR System </t>
  </si>
  <si>
    <t>Fellow Development</t>
  </si>
  <si>
    <t>Compliance</t>
  </si>
  <si>
    <t>Deepen Professional Expertise</t>
  </si>
  <si>
    <t>Increasing potential financial partners exposure to TALMA</t>
  </si>
  <si>
    <t>Represent TALMA at Events</t>
  </si>
  <si>
    <t>Map existing software systems</t>
  </si>
  <si>
    <t>Automatic Pension Enrollment</t>
  </si>
  <si>
    <t>Observation &amp; Evaluation</t>
  </si>
  <si>
    <t>Offboarding</t>
  </si>
  <si>
    <t>Create and Deliver Pedagogical Content</t>
  </si>
  <si>
    <t>Develop new municipalties</t>
  </si>
  <si>
    <t>Send Newsletters</t>
  </si>
  <si>
    <t>Improve Client Facing Tools</t>
  </si>
  <si>
    <t>לתת שם - חיבור וסנכרון למאנדיי</t>
  </si>
  <si>
    <t>Develop Internal Financial Information System</t>
  </si>
  <si>
    <t>Returners</t>
  </si>
  <si>
    <t>Office Operations</t>
  </si>
  <si>
    <t>Strengthen existing municipalties</t>
  </si>
  <si>
    <t>Conduct Team Evaluations Feedback</t>
  </si>
  <si>
    <t>Diversify funding sources</t>
  </si>
  <si>
    <t xml:space="preserve">Transition to Monthly Budget and Cash Flow Monitoring </t>
  </si>
  <si>
    <t>Orientation &amp; Onboarding</t>
  </si>
  <si>
    <t>Retention</t>
  </si>
  <si>
    <t>Manage Fellowship administration</t>
  </si>
  <si>
    <t>Diversify funding sources / להפריד לגראנטים</t>
  </si>
  <si>
    <t>Build a Profit Center and Cost Allocation Model</t>
  </si>
  <si>
    <t>School Collaboration Setup</t>
  </si>
  <si>
    <t>Conference Management</t>
  </si>
  <si>
    <t>Present TALMA to educators</t>
  </si>
  <si>
    <t>קשר עם תורמים(?)</t>
  </si>
  <si>
    <t>Measure Profitability of Organizational Programs</t>
  </si>
  <si>
    <t>End-Year Review</t>
  </si>
  <si>
    <t>Improve Employee Retention</t>
  </si>
  <si>
    <t>Raise funds</t>
  </si>
  <si>
    <t>Manage the Organization's Annual Budget</t>
  </si>
  <si>
    <t>Place Fellows in Regions</t>
  </si>
  <si>
    <t>Manage Alumni Network</t>
  </si>
  <si>
    <t>Lead TALMA Tuesday Sessions</t>
  </si>
  <si>
    <t>Manage Routine Program Operations</t>
  </si>
  <si>
    <t>Support Fellows</t>
  </si>
  <si>
    <t>תוכנית שנתית- גאנט עבודה</t>
  </si>
  <si>
    <t>תוכנית הקיץ- גאנט עבודה</t>
  </si>
  <si>
    <t>פרויקטים שנתיים- גאנט עבודה (מרחבים, נס ציונה, בני עייש)</t>
  </si>
  <si>
    <t>FOCUS AREAS</t>
  </si>
  <si>
    <t>ALL</t>
  </si>
  <si>
    <t>Grants</t>
  </si>
  <si>
    <t>FY management</t>
  </si>
  <si>
    <t>MyHR</t>
  </si>
  <si>
    <t>Interdepartment Communication</t>
  </si>
  <si>
    <t>Website Advertising</t>
  </si>
  <si>
    <t>TALMA Events - Ministry of Science</t>
  </si>
  <si>
    <t>Alumni</t>
  </si>
  <si>
    <t>Bnei Ayish</t>
  </si>
  <si>
    <t>Aharai</t>
  </si>
  <si>
    <t>Fellows recruit</t>
  </si>
  <si>
    <t>TALMA HQ events</t>
  </si>
  <si>
    <t>Social Media Advertising</t>
  </si>
  <si>
    <t>Pedagogical Content</t>
  </si>
  <si>
    <t>Government Relationships</t>
  </si>
  <si>
    <t>DAM tool Implementation</t>
  </si>
  <si>
    <t>Ministry of Science</t>
  </si>
  <si>
    <t>FY events</t>
  </si>
  <si>
    <t>Foundations</t>
  </si>
  <si>
    <t>Annual Budget</t>
  </si>
  <si>
    <t>Ministry of Education</t>
  </si>
  <si>
    <t>Local Authorities</t>
  </si>
  <si>
    <t>Office Renovation</t>
  </si>
  <si>
    <t>Summer Program</t>
  </si>
  <si>
    <t>General Fundraising</t>
  </si>
  <si>
    <t>TALMA Curriculum App</t>
  </si>
  <si>
    <t>Assessment</t>
  </si>
  <si>
    <t>Gefen Projects</t>
  </si>
  <si>
    <t>Housing for Fellows</t>
  </si>
  <si>
    <t>Office Maintenance</t>
  </si>
  <si>
    <t>WeSpeak</t>
  </si>
  <si>
    <t>Business Partnerships</t>
  </si>
  <si>
    <t>Conference - JEA</t>
  </si>
  <si>
    <t>Google Drive</t>
  </si>
  <si>
    <t>Bi-Lingual Ganim</t>
  </si>
  <si>
    <t>Sderot</t>
  </si>
  <si>
    <t>PD - TALMA Tuesday</t>
  </si>
  <si>
    <t>Formal Employee Feedback</t>
  </si>
  <si>
    <t>Practice Pal</t>
  </si>
  <si>
    <t>Organizational Partnerships</t>
  </si>
  <si>
    <t>Newsletters</t>
  </si>
  <si>
    <t>Monday.com Implementation</t>
  </si>
  <si>
    <t>Bi-Lingual Schools</t>
  </si>
  <si>
    <t>Budget Management</t>
  </si>
  <si>
    <t>PD - General</t>
  </si>
  <si>
    <t>Conference / Event Management</t>
  </si>
  <si>
    <t>Ness Ziona</t>
  </si>
  <si>
    <t>TALMA Academy</t>
  </si>
  <si>
    <t>Team Evaluations</t>
  </si>
  <si>
    <t>Internal Audit</t>
  </si>
  <si>
    <t>Kiryat Shmona</t>
  </si>
  <si>
    <t>Municipalities</t>
  </si>
  <si>
    <t>Recruitment System</t>
  </si>
  <si>
    <t>Bnot Sherut</t>
  </si>
  <si>
    <t>Volunteers Report</t>
  </si>
  <si>
    <t>Merhavim</t>
  </si>
  <si>
    <t>Slack Implementation</t>
  </si>
  <si>
    <t>Additional Report</t>
  </si>
  <si>
    <t>Debate Course</t>
  </si>
  <si>
    <t>TALMA.digital</t>
  </si>
  <si>
    <t>Payroll Process</t>
  </si>
  <si>
    <t>TALMA Games</t>
  </si>
  <si>
    <t>TALMA Events - Annual Conference</t>
  </si>
  <si>
    <t>Conference - Gala 2027</t>
  </si>
  <si>
    <t>TALMAisrael.com website</t>
  </si>
  <si>
    <t>Pensions</t>
  </si>
  <si>
    <t>Curriculum Database</t>
  </si>
  <si>
    <t>Educator Communities</t>
  </si>
  <si>
    <t>Conferences - General</t>
  </si>
  <si>
    <t>Internal Financial System</t>
  </si>
  <si>
    <t>Measurement/Assessment</t>
  </si>
  <si>
    <t>Monthly Budget</t>
  </si>
  <si>
    <t>Conference - JFN</t>
  </si>
  <si>
    <t>Networking</t>
  </si>
  <si>
    <t>Conference - Prizmah</t>
  </si>
  <si>
    <t>Profit Center and Cost Allocation Model</t>
  </si>
  <si>
    <t>Organizational Profitability</t>
  </si>
  <si>
    <t>TALMA Events - Kfar Azza</t>
  </si>
  <si>
    <t>TALMA Events - Ministry of Labor</t>
  </si>
  <si>
    <t>Ministry of Labor</t>
  </si>
  <si>
    <t>Evaluation - Internal</t>
  </si>
  <si>
    <t>Evaluation - Educational Impact</t>
  </si>
  <si>
    <t>Evaluation - Reporting to External people</t>
  </si>
  <si>
    <t>Evaluation - Collecting Data from Leaders about TALMA</t>
  </si>
  <si>
    <t>status</t>
  </si>
  <si>
    <t>priority</t>
  </si>
  <si>
    <t>departments</t>
  </si>
  <si>
    <t>quarters</t>
  </si>
  <si>
    <t>strategic goals</t>
  </si>
  <si>
    <t>people</t>
  </si>
  <si>
    <t>Not Started</t>
  </si>
  <si>
    <t>Critical</t>
  </si>
  <si>
    <t>Finances</t>
  </si>
  <si>
    <t>Q1</t>
  </si>
  <si>
    <t>Academic Status</t>
  </si>
  <si>
    <t>Adi</t>
  </si>
  <si>
    <t>Planned</t>
  </si>
  <si>
    <t>High</t>
  </si>
  <si>
    <t>Q2</t>
  </si>
  <si>
    <t>Financial Independence</t>
  </si>
  <si>
    <t>Daniel</t>
  </si>
  <si>
    <t>In Progress</t>
  </si>
  <si>
    <t>Medium</t>
  </si>
  <si>
    <t>Q3</t>
  </si>
  <si>
    <t>Impact Measurement</t>
  </si>
  <si>
    <t>Debra</t>
  </si>
  <si>
    <t>Done</t>
  </si>
  <si>
    <t>Low</t>
  </si>
  <si>
    <t>Q4</t>
  </si>
  <si>
    <t>International Presence</t>
  </si>
  <si>
    <t>Etelle</t>
  </si>
  <si>
    <t>On Hold</t>
  </si>
  <si>
    <t>National Recognition</t>
  </si>
  <si>
    <t>Ido Dvir</t>
  </si>
  <si>
    <t>Blocked</t>
  </si>
  <si>
    <t>Sustainable Growth</t>
  </si>
  <si>
    <t>Ido M.</t>
  </si>
  <si>
    <t>Jennifer</t>
  </si>
  <si>
    <t>Leila</t>
  </si>
  <si>
    <t>Maayan</t>
  </si>
  <si>
    <t>Miri</t>
  </si>
  <si>
    <t>Olga</t>
  </si>
  <si>
    <t>Sarah</t>
  </si>
  <si>
    <t>Shani</t>
  </si>
  <si>
    <t>Shay</t>
  </si>
  <si>
    <t>Sivan</t>
  </si>
  <si>
    <t>Stacey</t>
  </si>
  <si>
    <t>T'helah</t>
  </si>
  <si>
    <t>Yael</t>
  </si>
  <si>
    <t>Yuval</t>
  </si>
  <si>
    <t>Jenna</t>
  </si>
  <si>
    <t>TALMA Strategic Objective</t>
  </si>
  <si>
    <t>Department Objective</t>
  </si>
  <si>
    <t>Focus Area</t>
  </si>
  <si>
    <t>Task Name</t>
  </si>
  <si>
    <t>KPI</t>
  </si>
  <si>
    <t>Status</t>
  </si>
  <si>
    <t>Priority</t>
  </si>
  <si>
    <t>Primary Owner / Main Responsible</t>
  </si>
  <si>
    <t>Start Date</t>
  </si>
  <si>
    <t>End Date</t>
  </si>
  <si>
    <t>Quarter</t>
  </si>
  <si>
    <t>Partners / Supporters</t>
  </si>
  <si>
    <t>Cross-Department Collaboration</t>
  </si>
  <si>
    <t>Estimated Budget</t>
  </si>
  <si>
    <t>Notes</t>
  </si>
  <si>
    <t>Identify and confirm upcoming partnerships and collaborations with other TALMA departments.</t>
  </si>
  <si>
    <t>1/ month</t>
  </si>
  <si>
    <t>Resources - USA, Resources - Israel</t>
  </si>
  <si>
    <t>1) Map existing and potential collaborations across departments. 2) Hold 2-3 coordination meetings with the Development Department to align priorities and upcoming projects.</t>
  </si>
  <si>
    <t>Full Year, Evaluation - Educational Impact</t>
  </si>
  <si>
    <t>Conduct beginning-of-year student assessments, including learning and implementation across schools.</t>
  </si>
  <si>
    <t>Tech, Full Year</t>
  </si>
  <si>
    <t>1) Collect and analyze assessment data from schools. 2) Present findings to identify instructional priorities.</t>
  </si>
  <si>
    <t xml:space="preserve">הערכה ומדידה של התלמידים </t>
  </si>
  <si>
    <t>TALMA.digital, Full Year</t>
  </si>
  <si>
    <t>Develop a basic digital student assessment method based on the existing assessment framework.</t>
  </si>
  <si>
    <t>Goal: Pilot digital tool in Ashkelon, Sderot and Eilat schools. 1) Define indicators and structure, build pilot tool 2) Train teachers on use 3) Collect data and feedback</t>
  </si>
  <si>
    <t>Plan</t>
  </si>
  <si>
    <t>Ido</t>
  </si>
  <si>
    <t>Goal: Fair held successfully on Nov 11 with approx 200+ Kfar Aza students participating and 30-40 volunteers</t>
  </si>
  <si>
    <t>Deliver</t>
  </si>
  <si>
    <t>TALMA Events - Ministry of Labor, Ministry of Labor</t>
  </si>
  <si>
    <t>1) Draft the data outline for the project presentation by Nov 10. 2) Prepare visuals and PowerPoint presentation by Dec 1, and conduct at least one internal run-through before the conference.</t>
  </si>
  <si>
    <t>Create strong connections between the pedagogy team, regional directors, and fellows.</t>
  </si>
  <si>
    <t>1/month</t>
  </si>
  <si>
    <t>1) Hold at least 2 alignment meetings with regional directors to ensure relevance. 2) Collect feedback from the regional directors (&amp; teacher-leaders?) on clarity and applicability of PD content by Dec 15.</t>
  </si>
  <si>
    <t>Full Year, PD - TALMA Tuesday</t>
  </si>
  <si>
    <t>TALMA Tuesday Curriclum - Plan</t>
  </si>
  <si>
    <t>TALMA Tuesday Curriclum - Deliver</t>
  </si>
  <si>
    <t>Full Year PD Syllabus - Monthly updates and planning</t>
  </si>
  <si>
    <t>1 / month</t>
  </si>
  <si>
    <t>Etelle, Miri</t>
  </si>
  <si>
    <t>WeSpeak, PD</t>
  </si>
  <si>
    <t>Write PD Materials</t>
  </si>
  <si>
    <t>Resources - Israel, Tech, Full Year</t>
  </si>
  <si>
    <t xml:space="preserve">1) Write 9th grade session plans 
2) Recruit 15-20 teachers who don't teach "We Speak" (total of 40 teachers) 
3) Develop 9 teacher training sessions </t>
  </si>
  <si>
    <t>WeSpeak, Pedagogical Content</t>
  </si>
  <si>
    <t>Write curriculum for all grades</t>
  </si>
  <si>
    <t>Ministry of Labor, PD</t>
  </si>
  <si>
    <t>Write the curriculum</t>
  </si>
  <si>
    <t>Resources - Israel, Tech</t>
  </si>
  <si>
    <t>- Create, edit, and upload courses for the Ministry of Labor
- Upload final versions to cefr.co.il 
- Ensure that tests, course providers, and communication between centers and providers operate smoothly</t>
  </si>
  <si>
    <t>Upload curriculum to CEFR website</t>
  </si>
  <si>
    <t>PD, Bi-Lingual Ganim</t>
  </si>
  <si>
    <t>Schedule the next Bilingual Ganim professional development session.</t>
  </si>
  <si>
    <t>PD, Bnot Sherut</t>
  </si>
  <si>
    <t>Provide professional development for the Bnot Sherut and deliver at least three training sessions.</t>
  </si>
  <si>
    <t>Document and evaluate the Bi-Lingual Ganim in Sderot - with Multi</t>
  </si>
  <si>
    <t>Document and evaluate all activities by collecting feedback from Yifat, the Ganim teachers, and the Bnot Sherut, and summarize insights and recommended next steps for Q2.</t>
  </si>
  <si>
    <t>Document and evaluate the Bnot Sherut program Sderot - with end of program survey</t>
  </si>
  <si>
    <t>Merhavim, Pedagogical Content</t>
  </si>
  <si>
    <t>Create content for Debate course</t>
  </si>
  <si>
    <t>- Write syllabus and lesson plans
- Train teachers (1 zoom session) + record it for teachers who will join in the future</t>
  </si>
  <si>
    <t>Practice Pal, WeSpeak</t>
  </si>
  <si>
    <t>Finalize Practice Pal games for WeSpeak program</t>
  </si>
  <si>
    <t>Design the digital platform features, align content with program pedagogy, create user-friendly training materials for educators</t>
  </si>
  <si>
    <t>Lead PD sessions on Practice Pal for WeSpeak teachers</t>
  </si>
  <si>
    <t>Work with Maayan to organize recruitment process</t>
  </si>
  <si>
    <t>1) Develop outreach materials and a targeted recruitment strategy to attract strong candidates. 2) Create and implement an onboarding process that includes orientation &amp; pedagogical training.</t>
  </si>
  <si>
    <t>Distribute certificates to students who complete the course</t>
  </si>
  <si>
    <t>הפקת תעודות ולתת מבחנים ולדאוג שיבצעו (דרך מעראכת של speak now)</t>
  </si>
  <si>
    <t>Ministry of Labor, Evaluation - Educational Impact</t>
  </si>
  <si>
    <t>Assess the students who finished the program (using SpeakNow system)</t>
  </si>
  <si>
    <t>Full Year, Evaluation - Internal</t>
  </si>
  <si>
    <t>Mid-Year Class Observations (Full Year) - plan</t>
  </si>
  <si>
    <t>1) Coordinate observation schedules with fellows. 2) Conduct classroom observations across all locations. 3) Document findings using the standardized observation form. 4) Provide individualized feedback to fellows following each observation. 5) Identify common needs for upcoming PD sessions.</t>
  </si>
  <si>
    <t>Mid-Year Class Observations (Full Year) - schedule</t>
  </si>
  <si>
    <t>Mid-Year Class Observations (Full Year) - deliver</t>
  </si>
  <si>
    <t>Mid-Year Class Observations (Full Year) - followup</t>
  </si>
  <si>
    <t>Evaluation - Internal, Bnei Ayish</t>
  </si>
  <si>
    <t>Formal feedback (Bnei Ayish) - schedule</t>
  </si>
  <si>
    <t>1) Collect and analyze student work samples from each class prior to the mid-year meetings. 2) Develop a short action plan with each teacher based on identified needs.</t>
  </si>
  <si>
    <t>Formal feedback (Bnei Ayish) - deliver</t>
  </si>
  <si>
    <t>Formal feedback (Bnei Ayish) - followup</t>
  </si>
  <si>
    <t>Conduct mid-year status check - Bilingual Ganim (Sderot)</t>
  </si>
  <si>
    <t>Resources - Israel, Full Year</t>
  </si>
  <si>
    <t>1) Review the implementation of the pedagogical tools and document gaps or inconsistencies. 2) Draft a mid-year evaluation report with key insights, challenges, and recommended adjustments for Semester B.</t>
  </si>
  <si>
    <t>Conduct mid-year status check - Bnot Sherut (Sderot)</t>
  </si>
  <si>
    <t>Conduct mid-year status check - Full Year (Sderot)</t>
  </si>
  <si>
    <t>Conduct mid-year status check - Aharai</t>
  </si>
  <si>
    <t>Conduct mid-year status check - Ness Ziona</t>
  </si>
  <si>
    <t>Conduct mid-year status check - Merhavim</t>
  </si>
  <si>
    <t>Conduct mid-year status check - Kiryat Shmona</t>
  </si>
  <si>
    <t>Evaluation - Internal, WeSpeak</t>
  </si>
  <si>
    <t>Mid-Year Class Observations (WeSpeak) - plan</t>
  </si>
  <si>
    <t>Mid-Year Class Observations (WeSpeak) - schedule</t>
  </si>
  <si>
    <t>Mid-Year Class Observations (WeSpeak) - deliver</t>
  </si>
  <si>
    <t>Mid-Year Class Observations (WeSpeak) - followup</t>
  </si>
  <si>
    <t>Developing, expanding, and solidifying English programs</t>
  </si>
  <si>
    <t>Plan and design the platform</t>
  </si>
  <si>
    <t>1) Map existing pedagogical content to identify structure, gaps, and duplication. 2) Draft an outline for the database architecture, including categories, tagging system, user permissions, and workflow for ongoing updates.</t>
  </si>
  <si>
    <t>Search for professional development sessions/opportunities for the pedagogy team, focusing on new trends and learnings from conferences or research.</t>
  </si>
  <si>
    <t>Create a shortlist of recommended PD options and present them to the pedagogy team with rationale, expected outcomes, and suggested participants</t>
  </si>
  <si>
    <t>Evaluation - Internal, Full Year</t>
  </si>
  <si>
    <t>End-of-year feedback (full-year) - for fellows, regional directors, and Sivan - plan</t>
  </si>
  <si>
    <t>1) Distribute end-of-year feedback surveys/interviews for fellows, regional directors, and Sivan to gather insights on program quality and support. 2) Analyze responses and write feedback report highlighting trends, successes, and areas for improvement for the next year.</t>
  </si>
  <si>
    <t>End-of-year feedback (full-year) - for fellows, regional directors, and Sivan - deliver</t>
  </si>
  <si>
    <t>End-of-year feedback (full-year) - for fellows, regional directors, and Sivan - followup</t>
  </si>
  <si>
    <t>End-of-year feedback (WeSpeak) from teachers - plan</t>
  </si>
  <si>
    <t>1) Develop and administer feedback questionnaires for Bnot Sherut and We Speak teachers to evaluate their training experience and professional growth. 2) Synthesize insights into a summary report outlining strengths, challenges, and recommendations for improving our training model.</t>
  </si>
  <si>
    <t>End-of-year feedback (WeSpeak) from teachers - deliver</t>
  </si>
  <si>
    <t>End-of-year feedback (WeSpeak) from teachers - followup</t>
  </si>
  <si>
    <t>Bnot Sherut, Evaluation - Internal</t>
  </si>
  <si>
    <t>End-of-year feedback (Bnot Sherut - sderot) - plan</t>
  </si>
  <si>
    <t>End-of-year feedback (Bnot Sherut - sderot) - deliver</t>
  </si>
  <si>
    <t>End-of-year feedback (Bnot Sherut - sderot) - followup</t>
  </si>
  <si>
    <t>Evaluation - Internal, Bi-Lingual Ganim</t>
  </si>
  <si>
    <t>End-of-year feedback (Bilingual Ganim - sderot) - plan</t>
  </si>
  <si>
    <t>End-of-year feedback (Bilingual Ganim - sderot) - deliver</t>
  </si>
  <si>
    <t>End-of-year feedback (Bilingual Ganim - sderot) - followup</t>
  </si>
  <si>
    <t>Collect and analyze end-of-year feedback and plan improvements for TALMA’s second year in Sderot.</t>
  </si>
  <si>
    <t>Orientation - Plan</t>
  </si>
  <si>
    <t>1) Coordinate with the U.S. recruitment team to ensure alignment between program needs, content updates, and candidate profiles. 2) Develop and organize all summer program materials (curriculum packets, training guides, classroom kits).</t>
  </si>
  <si>
    <t>Orientation - Deliver</t>
  </si>
  <si>
    <t>Summer Program, Pedagogical Content</t>
  </si>
  <si>
    <t>Create content</t>
  </si>
  <si>
    <t>Debate - build the curriculum</t>
  </si>
  <si>
    <t>1) Gather participation, performance, and engagement data from the current Debate Course cohorts (observations, teacher feedback, student outputs). 2) Analyze trends and identify conditions for success to create a data-based recommendation for expanding the to additional centers next year.</t>
  </si>
  <si>
    <t>לבנות תכנים לתוכנית מרחבים, להריץ אותו בפיילוט, לאסוף עליו מידע ומשם לשכפל אותו לעוד מקומות</t>
  </si>
  <si>
    <t>Debate - deliver the program</t>
  </si>
  <si>
    <t>Debate - receive feedback from the teachers</t>
  </si>
  <si>
    <t>Evaluation - Internal, TALMA.digital</t>
  </si>
  <si>
    <t>Further develop and test the digital assessment system, integrating feedback from the beginning and mid-year implementations.</t>
  </si>
  <si>
    <t>Refine the digital assessment workflows (scoring, reporting, dashboards).</t>
  </si>
  <si>
    <t>Update “We Speak” curriculum based on teacher feedback + assessment results, plan adjustments for future implementation in other programs.</t>
  </si>
  <si>
    <t>Support the Summer Fellowship by sending pedagogy team members to conduct school visits, provide mentoring, and assist teachers on the ground</t>
  </si>
  <si>
    <t>Create Sderot Year 2 Strategic Plan, according to the feedback</t>
  </si>
  <si>
    <t>Full Year, PD</t>
  </si>
  <si>
    <t>Orientation - Planning</t>
  </si>
  <si>
    <t>PD, Full Year</t>
  </si>
  <si>
    <t>Create Full Year 26-27 PD Plan, according to the feedback</t>
  </si>
  <si>
    <t>Begin developing content for a potential TALMA digital platform, with the goal of reducing reliance on outsourcing.</t>
  </si>
  <si>
    <t>Full Year, Tech</t>
  </si>
  <si>
    <t>Explore the possibility of piloting the digital tool in selected schools, integrating it into full-year teacher practice and gathering data on its effectiveness.</t>
  </si>
  <si>
    <t>Virtual Event 1 - Plan</t>
  </si>
  <si>
    <t>Virtual Event 1 - Host</t>
  </si>
  <si>
    <t>Virtual Event 2 - Plan</t>
  </si>
  <si>
    <t>Virtual Event 2 - host</t>
  </si>
  <si>
    <t>NYC event with regional Alumni Ambassador - Plan</t>
  </si>
  <si>
    <t>1 per quarter</t>
  </si>
  <si>
    <t>NYC event with regional Alumni Ambassador - Deliver</t>
  </si>
  <si>
    <t>DC event with regional Alumni Ambassador - Plan</t>
  </si>
  <si>
    <t>Weekly Meeting with Resources - Israel</t>
  </si>
  <si>
    <t>1 per week</t>
  </si>
  <si>
    <t>Engage in the Jewish Digital Summit together with the US team</t>
  </si>
  <si>
    <t>Take an Introduction to Effective Digital Fundraising course</t>
  </si>
  <si>
    <t>Register for at least two standalone webinars and/or one course</t>
  </si>
  <si>
    <t>Recruit Teachers to Summer Fellowship</t>
  </si>
  <si>
    <t>60 teachers for Summer</t>
  </si>
  <si>
    <t>Full Year, Pedagogy, Resources - Israel</t>
  </si>
  <si>
    <t>Recruit teachers to full year fellowship</t>
  </si>
  <si>
    <t>5 teachers for Full Year</t>
  </si>
  <si>
    <t>JEA - Planning</t>
  </si>
  <si>
    <t>Finances, Pedagogy</t>
  </si>
  <si>
    <t>JEA - Followup</t>
  </si>
  <si>
    <t>Connect with all sign-ups on LinkedIn two weeks after the conference</t>
  </si>
  <si>
    <t>Newsletters, Alumni</t>
  </si>
  <si>
    <t>NYC alumni newsletter - send</t>
  </si>
  <si>
    <t>NYC alumni newsletter - track</t>
  </si>
  <si>
    <t>- click rate of &gt;= 3%, open rate &gt;= 28%</t>
  </si>
  <si>
    <t>DC alumni newsletter - send</t>
  </si>
  <si>
    <t>DC alumni newsletter - track</t>
  </si>
  <si>
    <t>LA alumni newsletter - send</t>
  </si>
  <si>
    <t>LA alumni newsletter - track</t>
  </si>
  <si>
    <t>Newsletters, Full Year</t>
  </si>
  <si>
    <t>FYF newsletter to the FYF sign up list - send</t>
  </si>
  <si>
    <t>FYF newsletter to the FYF sign up list - track</t>
  </si>
  <si>
    <t>Send Q2 General Newsletter (Purim) - send</t>
  </si>
  <si>
    <t>Send Q2 General Newsletter (Purim) - track</t>
  </si>
  <si>
    <t>Send Q3 General Newsletter (Chaggim) - send</t>
  </si>
  <si>
    <t>Send Q3 General Newsletter (Chaggim) - track</t>
  </si>
  <si>
    <t>Send Q1 General Newsletter (Channukah) - send</t>
  </si>
  <si>
    <t>Send Q1 General Newsletter (Channukah) - track</t>
  </si>
  <si>
    <t>Formal Progress Review (June) - Adi</t>
  </si>
  <si>
    <t>Formal Progress Review (End of Year) - Adi</t>
  </si>
  <si>
    <t>Formal Progress Review (June) - Jenna</t>
  </si>
  <si>
    <t>Formal Progress Review (End of Year) - Jenna</t>
  </si>
  <si>
    <t>Submit Taglitom itinerary</t>
  </si>
  <si>
    <t>Pedagogy, Resources - Israel, Finances</t>
  </si>
  <si>
    <t>Submit health insurance details to Eishonim</t>
  </si>
  <si>
    <t>Assign Summer Fellow placements &amp; roommates</t>
  </si>
  <si>
    <t>Resources - Israel, Finances</t>
  </si>
  <si>
    <t>Arrange flights for all Summer Fellows</t>
  </si>
  <si>
    <t>Collect background checks from all male Fellows</t>
  </si>
  <si>
    <t>Summer Program, Measurement/Assessment</t>
  </si>
  <si>
    <t>Administer end of program survey</t>
  </si>
  <si>
    <t>Pedagogy, Resources - Israel</t>
  </si>
  <si>
    <t>Arrange flights for all Full Year Fellows</t>
  </si>
  <si>
    <t>Produce internal Summer 2026 report</t>
  </si>
  <si>
    <t>Establish dates for 2027 and update registration documents</t>
  </si>
  <si>
    <t>Highlights newsletter for Jewish day schools - plan</t>
  </si>
  <si>
    <t>Highlights newsletter for Jewish day schools - execute</t>
  </si>
  <si>
    <t>Launch applications for Full Year 2027-28</t>
  </si>
  <si>
    <t>Launch applications for Summer 2027</t>
  </si>
  <si>
    <t>Pedagogy, Resources - Israel, Finances, Tech, HR, Full Year</t>
  </si>
  <si>
    <t>Finalize Details</t>
  </si>
  <si>
    <t>Pedagogy, Resources - Israel, Finances, Tech, HR, Full Year, Marketing</t>
  </si>
  <si>
    <t>Draft &amp; submit 2027 conference plan &amp; budget</t>
  </si>
  <si>
    <t>Message principals list &amp; send out Summer Fellowship flyer</t>
  </si>
  <si>
    <t>Meetings with Teacher Organizations</t>
  </si>
  <si>
    <t>10 per quarter</t>
  </si>
  <si>
    <t>Apply for grants</t>
  </si>
  <si>
    <t>2 per quarter</t>
  </si>
  <si>
    <t>Analyze grant submissions for 2026</t>
  </si>
  <si>
    <t>Recruit Teachers for Summer Program</t>
  </si>
  <si>
    <t>Recruit Teachers for Full Year Fellowship</t>
  </si>
  <si>
    <t>JFN - Register TALMA Team</t>
  </si>
  <si>
    <t>JFN - Plan</t>
  </si>
  <si>
    <t>JFN - Deliver</t>
  </si>
  <si>
    <t>JFN - Followup</t>
  </si>
  <si>
    <t>Prizmah - Signup</t>
  </si>
  <si>
    <t>Prizmah - Plan</t>
  </si>
  <si>
    <t>Prizmah - Deliver</t>
  </si>
  <si>
    <t>Prizmah - Followup</t>
  </si>
  <si>
    <t>General alumni newsletter - send</t>
  </si>
  <si>
    <t>General alumni newsletter - track</t>
  </si>
  <si>
    <t>Alumni, Networking</t>
  </si>
  <si>
    <t>Status Update - FY Recruitment</t>
  </si>
  <si>
    <t>Detail how much are in each stage of platform</t>
  </si>
  <si>
    <t>Full Year, Recruitment</t>
  </si>
  <si>
    <t>Publicize Call for Applicants (Monthly)</t>
  </si>
  <si>
    <t>1x month</t>
  </si>
  <si>
    <t>Publish call for applicants on platforms + coordinate with partners: Facebook, Instagram, Linkedin, Nefesh Benefesh Board, JEDLAB Jobs</t>
  </si>
  <si>
    <t>Initial Zoom interview with T'helah – fit screening (Airtable)</t>
  </si>
  <si>
    <t>Pedagogical interview with program director + pedagogy team (Airtable)</t>
  </si>
  <si>
    <t>Miri, Leila</t>
  </si>
  <si>
    <t>Request and evaluate lesson plan + demo video (Airtable)</t>
  </si>
  <si>
    <t>Send offer to approved fellows for 2026-27 (Airtable)</t>
  </si>
  <si>
    <t>Move applicant to FY base on Airtable + track completion</t>
  </si>
  <si>
    <t>Collect documents for Jewish Agency / B1 Visa (Airtable)</t>
  </si>
  <si>
    <t>Coordinate visa approvals with Ministry of Interior</t>
  </si>
  <si>
    <t>Place Teachers</t>
  </si>
  <si>
    <t>Recieve data from R&amp;D Dep. on which municipalities we will work in</t>
  </si>
  <si>
    <t>Shay, Miri</t>
  </si>
  <si>
    <t>R&amp;D</t>
  </si>
  <si>
    <t>Recieve data from R&amp;D Dep. how many fellows are required to each location</t>
  </si>
  <si>
    <t>Match candidates to regions based on background</t>
  </si>
  <si>
    <t>Recieve from the municipality a list of school we will place in</t>
  </si>
  <si>
    <t>Municipality</t>
  </si>
  <si>
    <t>Match candidates to schools based on pedagogical needs</t>
  </si>
  <si>
    <t>Recruitment &amp; Housing</t>
  </si>
  <si>
    <t>Find apartments (shared/individual) per municipality</t>
  </si>
  <si>
    <t>Regional director</t>
  </si>
  <si>
    <t>Full Year, Housing for Fellows</t>
  </si>
  <si>
    <t>Map apartment needs - Eilat</t>
  </si>
  <si>
    <t>Miri, Debra</t>
  </si>
  <si>
    <t>Find apartments - Eilat</t>
  </si>
  <si>
    <t>Verify apartment furnishing and equipment - Eilat</t>
  </si>
  <si>
    <t>Map apartment needs - Sderot</t>
  </si>
  <si>
    <t>Miri, Yael</t>
  </si>
  <si>
    <t>Find apartments - Sderot</t>
  </si>
  <si>
    <t>Verify apartment furnishing and equipment - Sderot</t>
  </si>
  <si>
    <t>Map apartment needs - Jlem/BS</t>
  </si>
  <si>
    <t>Find apartments - Jlem/BS</t>
  </si>
  <si>
    <t>Verify apartment furnishing and equipment - Jlem/BS</t>
  </si>
  <si>
    <t>Map apartment needs - Ashkelon</t>
  </si>
  <si>
    <t>Find apartments - Ashkelon</t>
  </si>
  <si>
    <t>Verify apartment furnishing and equipment - Ashkelon</t>
  </si>
  <si>
    <t>Match roommates based on culture/religion/personal preference</t>
  </si>
  <si>
    <t>Arrange flights with travel agency and confirm itineraries - for eligible fellows</t>
  </si>
  <si>
    <t>המורים שולחים את כל הפרטים דרך איירטייבל ואני מעבירה לטרוולנד דרך גוגל שיטס משותף. טרוולנד שולחת את פרטי הטיסות ישירות אל המורים, אני לא מקבלת אותם. אני חושבת שסיוון הייתה מבקשת מכל אחד לשלוח לה תאריך/שעת נחיתה כדי שהיא תוכל לארגן הסעות</t>
  </si>
  <si>
    <t>Recieve flight chart info from T'helah - landing times for orientation</t>
  </si>
  <si>
    <t>4 days of weekly co-teaching</t>
  </si>
  <si>
    <t>TALMA Tuesday PD - TALMA Tuesday: Pedagogy+Hebrew sessions - Building cillabus</t>
  </si>
  <si>
    <t>בנייה - פדגוגיה
העברה - מנהלות אזור</t>
  </si>
  <si>
    <t>Plan annual schedule (GAANT)</t>
  </si>
  <si>
    <t>Plan trips</t>
  </si>
  <si>
    <t>4 / year</t>
  </si>
  <si>
    <t>TALMA Tuesday Status Update - Eilat</t>
  </si>
  <si>
    <t>1 / week (starting / ending when?)</t>
  </si>
  <si>
    <t>South, Eilat region, JLM&amp;BS regions</t>
  </si>
  <si>
    <t>TALMA Tuesday Status Update - Sderot &amp; Ashkelon</t>
  </si>
  <si>
    <t>TALMA Tuesday Status Update - Jerusalem</t>
  </si>
  <si>
    <t>Teacher Leaders - offer the role to selected fellows (social and pedagogy leaders)</t>
  </si>
  <si>
    <t>Teacher Leaders - Monthly Meeting Status UPDATE</t>
  </si>
  <si>
    <t>1 / months (starting / ending when?)</t>
  </si>
  <si>
    <t>Leila, Miri</t>
  </si>
  <si>
    <t>Regional directors</t>
  </si>
  <si>
    <t>Monthly Fellow Checkins - Status UPD - TALMA Tuesdayate</t>
  </si>
  <si>
    <t>per region</t>
  </si>
  <si>
    <t>Track attendance + schedules - 1st semester - South region</t>
  </si>
  <si>
    <t>School Staff</t>
  </si>
  <si>
    <t>Track attendance + schedules - 1st semester - JLM&amp;BS region</t>
  </si>
  <si>
    <t>Track attendance + schedules - 1st semester - Eilat region</t>
  </si>
  <si>
    <t>Track attendance + schedules - 2nd semester - South region</t>
  </si>
  <si>
    <t>Track attendance + schedules - 2nd semester - JLM&amp;BS region</t>
  </si>
  <si>
    <t>Track attendance + schedules - 2nd semester - Eilat region</t>
  </si>
  <si>
    <t>Track attendance + schedules - 3rd semester - South region</t>
  </si>
  <si>
    <t>Track attendance + schedules - 3rd semester - JLM&amp;BS region</t>
  </si>
  <si>
    <t>Track attendance + schedules - 3rd semester - Eilat region</t>
  </si>
  <si>
    <t>Full Year, Fellow Development</t>
  </si>
  <si>
    <t>Support for new fellows (map) - Eilat</t>
  </si>
  <si>
    <t>Support for new fellows (map) - South</t>
  </si>
  <si>
    <t>Support for new fellows (map) - Jlem / BS</t>
  </si>
  <si>
    <t>Support for new fellows (followup) - Eilat</t>
  </si>
  <si>
    <t>1 per two months</t>
  </si>
  <si>
    <t>Support for new fellows (followup) - South</t>
  </si>
  <si>
    <t>Support for new fellows (followup) - Jlem / BS</t>
  </si>
  <si>
    <t>Support fellows with classroom challenges - South region</t>
  </si>
  <si>
    <t>1 / quarter</t>
  </si>
  <si>
    <t>Support fellows with classroom challenges - JLM&amp;BS</t>
  </si>
  <si>
    <t>Support fellows with classroom challenges - Eilat</t>
  </si>
  <si>
    <t>Hold a meeting with the english-coordinator in each school - Sderot</t>
  </si>
  <si>
    <t>Hold a meeting with the english-coordinator in each school - Ashkelon</t>
  </si>
  <si>
    <t>Hold a meeting with the english-coordinator in each school - Kfar Aza</t>
  </si>
  <si>
    <t>Hold a meeting with the english-coordinator in each school - JLM</t>
  </si>
  <si>
    <t>Hold a meeting with the english-coordinator in each school - Ben Shemen</t>
  </si>
  <si>
    <t>Hold a meeting with the english-coordinator in each school - Eilat</t>
  </si>
  <si>
    <t>Class Observations (Eilat) 1 - schedule</t>
  </si>
  <si>
    <t>*mandatory for all fellows* and document observation</t>
  </si>
  <si>
    <t>Class Observations (South) 1 - schedule</t>
  </si>
  <si>
    <t>Class Observations (Jerusalem) 1 - schedule</t>
  </si>
  <si>
    <t>Class Observations (Eilat) 1 - deliver</t>
  </si>
  <si>
    <t>hold an immediate feedback in school with the fellow&amp;document observation file</t>
  </si>
  <si>
    <t>Class Observations (South) 1 - deliver</t>
  </si>
  <si>
    <t>Class Observations (Jerusalem) 1 - deliver</t>
  </si>
  <si>
    <t>Class Observations (Eilat) 1 - followup</t>
  </si>
  <si>
    <t>Class Observations (South) 1 - followup</t>
  </si>
  <si>
    <t>Class Observations (Jerusalem) 1 - followup</t>
  </si>
  <si>
    <t>Class Observations (Eilat) 2 - schedule</t>
  </si>
  <si>
    <t>when needed (new fellows etc.)</t>
  </si>
  <si>
    <t>Class Observations (South) 2 - schedule</t>
  </si>
  <si>
    <t>Class Observations (Jerusalem) 2 - schedule</t>
  </si>
  <si>
    <t>Class Observations (Eilat) 2 - deliver</t>
  </si>
  <si>
    <t>Class Observations (South) 2 - deliver</t>
  </si>
  <si>
    <t>Class Observations (Jerusalem) 2 - deliver</t>
  </si>
  <si>
    <t>Class Observations (Eilat) 2 - followup</t>
  </si>
  <si>
    <t>Class Observations (South) 2 - followup</t>
  </si>
  <si>
    <t>Class Observations (Jerusalem) 2 - followup</t>
  </si>
  <si>
    <t>Class Observations (Eilat) 3 - schedule</t>
  </si>
  <si>
    <t>when needed (decide who needs)</t>
  </si>
  <si>
    <t>Class Observations (South) 3 - schedule</t>
  </si>
  <si>
    <t>Class Observations (Jerusalem) 3 - schedule</t>
  </si>
  <si>
    <t>Class Observations (Eilat) 3 - deliver</t>
  </si>
  <si>
    <t>Class Observations (South) 3 - deliver</t>
  </si>
  <si>
    <t>Class Observations (Jerusalem) 3 - deliver</t>
  </si>
  <si>
    <t>Class Observations (Eilat) 3 - followup</t>
  </si>
  <si>
    <t>Class Observations (South) 3 - followup</t>
  </si>
  <si>
    <t>Class Observations (Jerusalem) 3 - followup</t>
  </si>
  <si>
    <t>Visit school - Hold principal + coordinator expectation meeting - Sderot</t>
  </si>
  <si>
    <t>מירי, לשיקולך האם צריך להיות עוד ביקור בבית הספר בהכרח. יש בתי ספר שזה קורה באופן טבעי, השאלה אם חייב שוב.</t>
  </si>
  <si>
    <t>Visit school - Hold principal + coordinator expectation meeting - Ashkelon</t>
  </si>
  <si>
    <t>Visit school - Hold principal + coordinator expectation meeting - Kfar Aza</t>
  </si>
  <si>
    <t>Visit school - Hold principal + coordinator expectation meeting - JLM</t>
  </si>
  <si>
    <t>Visit school - Hold principal + coordinator expectation meeting - Ben Shemen</t>
  </si>
  <si>
    <t>Visit school - Hold principal + coordinator expectation meeting - Eilat</t>
  </si>
  <si>
    <t>Prepare mid-year goals document for each fellow before mid-year meetings - South region</t>
  </si>
  <si>
    <t>Prepare mid-year goals document for each fellow before mid-year meetings - JLM&amp;BS</t>
  </si>
  <si>
    <t>Prepare mid-year goals document for each fellow before mid-year meetings - Eilat</t>
  </si>
  <si>
    <t>Send returners interest form for 2027-2028</t>
  </si>
  <si>
    <t>Hold a team meeting on returners - decisions after observations</t>
  </si>
  <si>
    <t>Schedule a personal meeting with each fellow who wish to return for another year - South region</t>
  </si>
  <si>
    <t>each fellow</t>
  </si>
  <si>
    <t>Schedule a personal meeting with each fellow who wish to return for another year - JLM&amp;BS region</t>
  </si>
  <si>
    <t>Schedule a personal meeting with each fellow who wish to return for another year - Eilat region</t>
  </si>
  <si>
    <t>Develop personalized goals for each fellow - including project and teaching routine based on cillabus</t>
  </si>
  <si>
    <t>Social monthly meeting - South region - yearly plan</t>
  </si>
  <si>
    <t>Teacher Leaders</t>
  </si>
  <si>
    <t>Social monthly meeting - JLM&amp;BS region - yearly plan</t>
  </si>
  <si>
    <t>Social monthly meeting - Eilat region - yearly plan</t>
  </si>
  <si>
    <t>Social monthly meeting - South region - each month</t>
  </si>
  <si>
    <t>Social monthly meeting - JLM&amp;BS region - each month</t>
  </si>
  <si>
    <t>Social monthly meeting - Eilat region - each month</t>
  </si>
  <si>
    <t>Create Excel table of insured fellows</t>
  </si>
  <si>
    <t>Send Udelsman health insurance forms + passports of all insured fellows</t>
  </si>
  <si>
    <t>Alon Udelsman</t>
  </si>
  <si>
    <t>Activate health insurance policies and send fellows their policy number</t>
  </si>
  <si>
    <t>Arrange transportation from airport to orientation</t>
  </si>
  <si>
    <t>לפני כן מנהלת שנתית מקבלת פרטי טיסה מכל עמית ואז מארגנת הסעות</t>
  </si>
  <si>
    <t>Arrange transportation from orientation to regions</t>
  </si>
  <si>
    <t>Prepare orientation agenda (week-long training)</t>
  </si>
  <si>
    <t>Pedagogy sessions for orientation</t>
  </si>
  <si>
    <t>לוודא שנבנה - זו תת משימה...</t>
  </si>
  <si>
    <t>Miri, T'helah</t>
  </si>
  <si>
    <t>Share pedagogical materials + teaching models - post orientation on email</t>
  </si>
  <si>
    <t>Train fellows in communication protocols with schools</t>
  </si>
  <si>
    <t>August</t>
  </si>
  <si>
    <t>Onboard fellows to HR system + login setup</t>
  </si>
  <si>
    <t>August-September</t>
  </si>
  <si>
    <t>Send Israeli contracts to citizens + track signature</t>
  </si>
  <si>
    <t>August-post orientation</t>
  </si>
  <si>
    <t>Provide arrival support at regional apartments</t>
  </si>
  <si>
    <t>לכל אזור</t>
  </si>
  <si>
    <t>Hold kickoff meeting with principal + English coordinator and present to school full‑year structure and expectations - cillabus, projects etc.</t>
  </si>
  <si>
    <t>?</t>
  </si>
  <si>
    <t>Align weekly schedule and responsibilities</t>
  </si>
  <si>
    <t>September</t>
  </si>
  <si>
    <t>Review student demographics and school needs - During first meeting with school</t>
  </si>
  <si>
    <t>מידע שצריך לעלות מהפגישה של מנהלת המוקד עם בתי הספר טרום השיבוצים</t>
  </si>
  <si>
    <t>Prepare English-speaking baseline plan</t>
  </si>
  <si>
    <t>Conduct pre-test in all classrooms</t>
  </si>
  <si>
    <t>לדייק</t>
  </si>
  <si>
    <t>October</t>
  </si>
  <si>
    <t>Analyze pre-test data for grouping</t>
  </si>
  <si>
    <t>Finalize teaching groups and levels</t>
  </si>
  <si>
    <t>Prepare materials to school for English speaking activities</t>
  </si>
  <si>
    <t>UPD - TALMA Tuesdayate municipality with school needs and placements</t>
  </si>
  <si>
    <t>per municipality / region</t>
  </si>
  <si>
    <t>November</t>
  </si>
  <si>
    <t>Conduct post-test in classrooms</t>
  </si>
  <si>
    <t>May</t>
  </si>
  <si>
    <t>Collect and analyze student progress data</t>
  </si>
  <si>
    <t>Hold end-year meeting with principal + coordinator</t>
  </si>
  <si>
    <t>לכל בית ספר</t>
  </si>
  <si>
    <t>June</t>
  </si>
  <si>
    <t>Prepare fellow continuation offers</t>
  </si>
  <si>
    <t>Conduct exit interviews for non-returning fellows</t>
  </si>
  <si>
    <t>Assemble end-year school report + recommendations</t>
  </si>
  <si>
    <t>לכל בית ספר?</t>
  </si>
  <si>
    <t>Plan reachout</t>
  </si>
  <si>
    <t>Reachout to potential candidates</t>
  </si>
  <si>
    <t>Select candidates</t>
  </si>
  <si>
    <t>3-5 candidates</t>
  </si>
  <si>
    <t>Present to Board of Directors</t>
  </si>
  <si>
    <t>Responding to the internal auditor’s questions.</t>
  </si>
  <si>
    <t>Receiving draft report, holding a management meeting to discuss findings, and submitting structured comments.</t>
  </si>
  <si>
    <t>Receiving final report.</t>
  </si>
  <si>
    <t>Board discussion and approval of the report.</t>
  </si>
  <si>
    <t>Building a findings tracking table (finding, risk level, responsible party, deadline).</t>
  </si>
  <si>
    <t>Ongoing monitoring of implementation until findings are closed</t>
  </si>
  <si>
    <t>Receiving list of documents required to begin the audit.</t>
  </si>
  <si>
    <t>Sending materials to the internal auditor within two weeks.</t>
  </si>
  <si>
    <t>Map Existing process</t>
  </si>
  <si>
    <t>Write a draft (include preparation, review, and approval)</t>
  </si>
  <si>
    <t>test</t>
  </si>
  <si>
    <t>Pilot</t>
  </si>
  <si>
    <t>Implement for HQ Employees</t>
  </si>
  <si>
    <t>Plan for teachers</t>
  </si>
  <si>
    <t>Implement for Teachers</t>
  </si>
  <si>
    <t>Mapping</t>
  </si>
  <si>
    <t>Reviewing existing capabilities with the software provider.</t>
  </si>
  <si>
    <t>Building tailored onboarding processes for different employee types.</t>
  </si>
  <si>
    <t>Drafting an internal procedure for onboarding new employees according to their applicable pension arrangement.</t>
  </si>
  <si>
    <t>Producing a monthly report on employees for whom a pension arrangement has not yet been opened</t>
  </si>
  <si>
    <t>Defining needs: profit centers, cash flow reports, bank reconciliations.</t>
  </si>
  <si>
    <t>Demonstration meetings with at least three vendors.</t>
  </si>
  <si>
    <t>Receiving price quotes and conducting cost comparison.</t>
  </si>
  <si>
    <t>Selecting a system and obtaining management approval.</t>
  </si>
  <si>
    <t>Building a transition process to the internal system</t>
  </si>
  <si>
    <t>Transfer materials to accounting by the 15th of the following month, including credit cards and petty cash.</t>
  </si>
  <si>
    <t>Review monthly accounting records</t>
  </si>
  <si>
    <t>Review monthly budget compliance</t>
  </si>
  <si>
    <t>Update budget and cash flow forecast through year-end.</t>
  </si>
  <si>
    <t>Implement</t>
  </si>
  <si>
    <t>Defining key metrics: number of students per project, project cost, cost per student, program activity hours, cost per teaching hour or per student.</t>
  </si>
  <si>
    <t>Building a calculation model.</t>
  </si>
  <si>
    <t>Collecting data from various departments within the organization.</t>
  </si>
  <si>
    <t>Preparing a report for presentation to the Board of Directors.</t>
  </si>
  <si>
    <t>לוודא גבייה מתכנית השנתית - לפרק את המשימה לפי כל רשות (כל רשות מתנהלת שונה)</t>
  </si>
  <si>
    <t>לוודא גבייה מתכנית הקיץ</t>
  </si>
  <si>
    <t>Recruit marketing manager</t>
  </si>
  <si>
    <t>1 job closed</t>
  </si>
  <si>
    <t>15.4.2026</t>
  </si>
  <si>
    <t>Recruit grant manager</t>
  </si>
  <si>
    <t>Design and document the recruitment process - technical and human</t>
  </si>
  <si>
    <t>28.2.2026</t>
  </si>
  <si>
    <t>Ido Dvir, Ido M.</t>
  </si>
  <si>
    <t>Own the full recruitment lifecycle including role definition with hiring managers, job publishing, CV screening, HR interviews, offer coordination, and candidate management through contract signing.</t>
  </si>
  <si>
    <t>Design and provide feedback on building of recruitment system</t>
  </si>
  <si>
    <t>Implement my HR - plan</t>
  </si>
  <si>
    <t>31.3.2026</t>
  </si>
  <si>
    <t>Lead the transition to a digital HR management system, including system selection and development based on organizational needs, data preparation and migration, and infrastructure readiness. Implement the system through a structured rollout, including process alignment, training for HR and managers, and ongoing support to ensure effective and consistent use.</t>
  </si>
  <si>
    <t>Implement my HR - deliver for HQ</t>
  </si>
  <si>
    <t>All HQ employees using my HR</t>
  </si>
  <si>
    <t>Implement my HR - deliver for teachers</t>
  </si>
  <si>
    <t>All teachers using MyHR</t>
  </si>
  <si>
    <t>Structured Onboarding program - plan</t>
  </si>
  <si>
    <t>-</t>
  </si>
  <si>
    <t>Lead the onboarding process including employment contracts, document collection, first-day coordination, stakeholder introductions, and structured onboarding meetings.</t>
  </si>
  <si>
    <t>Structured Onboarding program - deliver</t>
  </si>
  <si>
    <t>Build organizational event/holiday schedule</t>
  </si>
  <si>
    <t>Plan and execute holidays, team events, onboarding celebrations, farewells, and initiatives that foster belonging and engagement.</t>
  </si>
  <si>
    <t>Sexual harassment prevention - create policy document</t>
  </si>
  <si>
    <t>Full responsibility for serving as the Sexual Harassment Prevention Officer, including building and maintaining a structured organizational process: policy review and updates, clear reporting and handling procedures, documentation, manager briefings, employee awareness, and compliance with legal requirements.</t>
  </si>
  <si>
    <t>Sexual harassment prevention - deliver</t>
  </si>
  <si>
    <t>Structured Offboarding program - plan</t>
  </si>
  <si>
    <t>Manage exit conversations, termination documentation, rights calculation in coordination with finance, and respectful knowledge transfer.</t>
  </si>
  <si>
    <t>Structured off boarding program - deliver</t>
  </si>
  <si>
    <t>Office Renovation - plan</t>
  </si>
  <si>
    <t>31.5.2026</t>
  </si>
  <si>
    <t>Finance, Management</t>
  </si>
  <si>
    <t>Prepare a detailed operational and logistical plan for office renovation and expansion, pending budget approval.</t>
  </si>
  <si>
    <t>Office Renovation - deliver</t>
  </si>
  <si>
    <t>Optimize office operations and vendor management.</t>
  </si>
  <si>
    <t>31.12.2026</t>
  </si>
  <si>
    <t>Manage office logistics vendors including cleaning, maintenance, communication services, supplies, and ongoing operational needs.</t>
  </si>
  <si>
    <t>Formal Feedback - Plan</t>
  </si>
  <si>
    <t>2 / year</t>
  </si>
  <si>
    <t>31.8.2026</t>
  </si>
  <si>
    <t>Develop feedback and evaluation processes, support role development, promotions, and performance conversations.</t>
  </si>
  <si>
    <t>Oversee HQ employees feedback</t>
  </si>
  <si>
    <t>Formal Feedback - based on employee needs</t>
  </si>
  <si>
    <t>Formalize processes for TALMA conferences and events.</t>
  </si>
  <si>
    <t>31.7.2026</t>
  </si>
  <si>
    <t>Programs, Finance, Marketing</t>
  </si>
  <si>
    <t>Develop a structured process for planning and managing conferences and events, including event types, roles and ownership, scope, vendor and production company engagement, and alignment with the approved budget.</t>
  </si>
  <si>
    <t>Employee retention plan - update and provide support</t>
  </si>
  <si>
    <t>31.10.2026</t>
  </si>
  <si>
    <t>Support managers with employee retention, conflict handling, and alignment between organizational needs and employee wellbeing.</t>
  </si>
  <si>
    <t>Annual Budget, Ministry of Education</t>
  </si>
  <si>
    <t>Coordinate GEFEN program submissions.</t>
  </si>
  <si>
    <t>Serve as the logistical focal point for GEFEN program submissions, ensuring coordination and timely updates across relevant stakeholders.</t>
  </si>
  <si>
    <t>Establish a clear division of responsibilities, project alignment, and ongoing partnership with TALMA USA</t>
  </si>
  <si>
    <t>Weekly meeting with Resources-USA</t>
  </si>
  <si>
    <t>1/week</t>
  </si>
  <si>
    <t>Cooperation between Resource Departments, Grants</t>
  </si>
  <si>
    <t>Build a grant management system, together with Resources-USA</t>
  </si>
  <si>
    <t>31.3.26</t>
  </si>
  <si>
    <t>Recruit addition staff member at 50-100%</t>
  </si>
  <si>
    <t>איפיון התפקיד 
גיוס לתפקיד
חפיפה</t>
  </si>
  <si>
    <t>Build professional fundraising skills</t>
  </si>
  <si>
    <t>30.6.26</t>
  </si>
  <si>
    <t>Connect with new foundations</t>
  </si>
  <si>
    <t>30/6/26</t>
  </si>
  <si>
    <t>31/12/26</t>
  </si>
  <si>
    <t>Summer Program, General Fundraising</t>
  </si>
  <si>
    <t>Secure budget for Summer Program</t>
  </si>
  <si>
    <t>NIS 1,000,000</t>
  </si>
  <si>
    <t>להוסיף תשלום על הקיץ (אשקלון, אילת, בן שמן)
מציאת רשויות חזקות עם יכולות מימון
בניית תמהיל של מורי חול מול מורים ישראלים
משקיעים לתוכנית קיץ (דגש על פדרציות)</t>
  </si>
  <si>
    <t>Grants, Summer Program</t>
  </si>
  <si>
    <t>Apply designated grants to cover summer budget gaps</t>
  </si>
  <si>
    <t>Develop strategic relationships with government ministries</t>
  </si>
  <si>
    <t>30.9.26</t>
  </si>
  <si>
    <t>עם הקבינט: מורים עולים- משרד העלייה והתפוצות
עם הקבינט: מורים עולים- משרד העלייה והתפוצות</t>
  </si>
  <si>
    <t>Securing a major long-term philanthropic partner</t>
  </si>
  <si>
    <t>30.12.26</t>
  </si>
  <si>
    <t>מול עידו- איפה הדברים מול קקל + שוסטרמן וסטיינהרט- סיוע בפניות ליד הנדיב ולקרן עזריאלי
פנייה ליד הנדיב (פוטנציאל ל-1-2 מלש"ח כל שנה)
קק"ל: אור קבינט- ליואל קשרים בקקל</t>
  </si>
  <si>
    <t>Securing a Mid-level long-term philanthropic partner</t>
  </si>
  <si>
    <t>פנייה לעתר רזי אורן- מנכלית קרן יחד
פנייה למדי יעקובוזון- מנהלת השקעות של משפחת קרסו (מתבסס על חברת פריסבי לשעבר קרסו מוטורוס)
פנייה לקרן אדליס (הכוונה של עומר יעדים)</t>
  </si>
  <si>
    <t>Build business partnerships - plan</t>
  </si>
  <si>
    <t>Build a designated program for partnerships with businesses. מיפוי עסקים לשותפות פוטנציאלית / אחריות תאגידית | Develop TALMA program for High-Tech
פגישת קפה עם בעלי תפקיד מקביל בארגונים אחרים
פנייה לציונות 2000 - קשרי מעסיקים
Schedule 4 meetings with potential business partners by the end of Q3
Schedule additional 4 meetings with potential business partners by the end of Q3</t>
  </si>
  <si>
    <t>Build business partnerships - schedule meetings</t>
  </si>
  <si>
    <t>לקבוע פגישות + פגישה עם חברת כוח אדם - לקבל נתונים</t>
  </si>
  <si>
    <t>Build business partnerships - meetings status check</t>
  </si>
  <si>
    <t>1 / 2 months</t>
  </si>
  <si>
    <t>Build business partnerships - deliver</t>
  </si>
  <si>
    <t>Update donor record with program progress, achievements and special events (including invitation to main events)</t>
  </si>
  <si>
    <t>Foundations, Newsletters</t>
  </si>
  <si>
    <t>Send donors newsletter</t>
  </si>
  <si>
    <t>Holiday greetings</t>
  </si>
  <si>
    <t>Send birthday greetings</t>
  </si>
  <si>
    <t>1/ / month</t>
  </si>
  <si>
    <t>Build organizational partnerships - plan</t>
  </si>
  <si>
    <t>31.7.26</t>
  </si>
  <si>
    <t>Build organizational partnerships - schedule meetings</t>
  </si>
  <si>
    <t>Build organizational partnerships - deliver</t>
  </si>
  <si>
    <t>30.3.26</t>
  </si>
  <si>
    <t>מציאת מקום (בית ברל / ירושלים)
חידוד המוצר והמודל</t>
  </si>
  <si>
    <t>TALMA Academy, General Fundraising</t>
  </si>
  <si>
    <t>Find Funding</t>
  </si>
  <si>
    <t>Build program and partnerships for Arab Community Program</t>
  </si>
  <si>
    <t>תוכנית ייעודית להכשרת מורים ערבים + שתפ עם קרן ביידר + החברה למתנסים</t>
  </si>
  <si>
    <t>Build program and partnerships for Haredi Community Program</t>
  </si>
  <si>
    <t>תוכנית ייעודית למורים חרדים- דרך בית שמש או ירושלים ושת"פ עם הממ"חים</t>
  </si>
  <si>
    <t>Establishing pricing model for TALMA's products</t>
  </si>
  <si>
    <t>Recruitment System, Recruitment</t>
  </si>
  <si>
    <t>Establishing nation wide teacher data base</t>
  </si>
  <si>
    <t>Pedagogy, HR, Tech</t>
  </si>
  <si>
    <t>חידוד מוגל גיוס מורים + קמפיין
בניית תהליך מנוהל בתוך תלמא (בשיתוף מעיין דניאל אטל וסיון)</t>
  </si>
  <si>
    <t>Build models for existing programs</t>
  </si>
  <si>
    <t>בני עיש, נס ציונה, מרחבים</t>
  </si>
  <si>
    <t>Map existing TALMA programs</t>
  </si>
  <si>
    <t>מיפוי תכנית קיימות בתלמ״א</t>
  </si>
  <si>
    <t>Map municiplalities (with an eye on program expansion)</t>
  </si>
  <si>
    <t xml:space="preserve"> רשויות רלוונטיות לתכניות תלמא - מהעבר או מעכשיו. מי יכול מעוניין בתכנית שלנו? זה עוזר להבין הייתכנות להרחבת של אחריי וזיקים, </t>
  </si>
  <si>
    <t>Close deal with municipality on program expansion</t>
  </si>
  <si>
    <t>2?</t>
  </si>
  <si>
    <t>בני עיש, מס ציונה מרחבים</t>
  </si>
  <si>
    <t>Developing pre school programs</t>
  </si>
  <si>
    <t>TALMAisrael.com website, Website Advertising</t>
  </si>
  <si>
    <t>Developing Hebrew TALMA's web site</t>
  </si>
  <si>
    <t>Principals survey - receive</t>
  </si>
  <si>
    <t>Mid-year meetings with municipalities</t>
  </si>
  <si>
    <t>??</t>
  </si>
  <si>
    <t>Full Year, Pedagogy</t>
  </si>
  <si>
    <t>לאחר תוצאות סקר מנהלים + המשך שיח על שנה הבאה</t>
  </si>
  <si>
    <t>Close contracts with municipalities for next year</t>
  </si>
  <si>
    <t>Full Year, Evaluation - Reporting to External people</t>
  </si>
  <si>
    <t>End of year evaluations - request</t>
  </si>
  <si>
    <t>End of year evaluations - receive</t>
  </si>
  <si>
    <t>End-of-year meetings with municipalities</t>
  </si>
  <si>
    <t>Pedagogy, Full Year</t>
  </si>
  <si>
    <t>Initial conversations with municipalities about next summer</t>
  </si>
  <si>
    <t>Followup conversations with municipalities about next summer</t>
  </si>
  <si>
    <t>Closing deal conversations with municipalities about next summer</t>
  </si>
  <si>
    <t>End of year conversations with municipalities</t>
  </si>
  <si>
    <t>Summer Program, Evaluation - Reporting to External people</t>
  </si>
  <si>
    <t>Strengthen existing municipalties, Bnei Ayish</t>
  </si>
  <si>
    <t>Includes conversation about next year</t>
  </si>
  <si>
    <t>Close contract for next year</t>
  </si>
  <si>
    <t>Evaluation - Reporting to External people, Bnei Ayish</t>
  </si>
  <si>
    <t>Evaluations - request</t>
  </si>
  <si>
    <t>Evaluations - recieve</t>
  </si>
  <si>
    <t>Evaluation - Internal, Merhavim</t>
  </si>
  <si>
    <t>Strengthen existing municipalties, Merhavim</t>
  </si>
  <si>
    <t>Evaluation - Reporting to External people, Merhavim</t>
  </si>
  <si>
    <t>Evaluation - Internal, Ness Ziona</t>
  </si>
  <si>
    <t>Strengthen existing municipalties, Ness Ziona</t>
  </si>
  <si>
    <t>Evaluation - Reporting to External people, Ness Ziona</t>
  </si>
  <si>
    <t>Submit 100% relevant grants - plan</t>
  </si>
  <si>
    <t>עדכון טבלה במאנדיי (grant management), סנכרון של כל בעלי התפקידים הרלוונטיים על הטבלה.
חלוקת אחריות על גרנטים בין אנשי הצוות.
תיקיית טמפלטים לבקשות מענק (אודות תלמ״א, אודות קיץ/שנתית וכו׳)...</t>
  </si>
  <si>
    <t>Submit 100% relevant grants - followup</t>
  </si>
  <si>
    <t>1/ month ??</t>
  </si>
  <si>
    <t>Develop new municipalties, Educator Communities</t>
  </si>
  <si>
    <t>Promote Israeli educator communities - plan</t>
  </si>
  <si>
    <t>HR, Pedagogy</t>
  </si>
  <si>
    <t>לבנות מיני תכנית עבודה למשימת קהילות מחנכים
מיפוי אגונים פוטנציאליים לשת״פ
בניית טמפלייט בסיס לפניייה לשותפים (על בסיס הפנייה לתוצרת הארץ)
שיתוף פעולה עם רשויות בהיבט של גיוס ודיוק הטבות למועמדים (מגורים, מענק שנתי...)</t>
  </si>
  <si>
    <t>Bnot Sherut, Develop new municipalties</t>
  </si>
  <si>
    <t>Study Bnot Sherut Program and Recruitment</t>
  </si>
  <si>
    <t>Bnot Sherut, Strengthen existing municipalties</t>
  </si>
  <si>
    <t>Schedule meeting Bat Ami</t>
  </si>
  <si>
    <t>Connect with school networks (Darka, Ort...)</t>
  </si>
  <si>
    <t>Study previous events and draw conclusions</t>
  </si>
  <si>
    <t>Present idea for next year's conference</t>
  </si>
  <si>
    <t>Recruit funding sources for next year's conference</t>
  </si>
  <si>
    <t>אם הדבר הזה יקרה, צריך לשים משימות</t>
  </si>
  <si>
    <t>Evaluation and Measurement</t>
  </si>
  <si>
    <t>Bnei Ayish, TALMA.digital</t>
  </si>
  <si>
    <t>Bnei Ayish Assessment</t>
  </si>
  <si>
    <t>DAM tool</t>
  </si>
  <si>
    <t>Data / Information Security - DPO Course</t>
  </si>
  <si>
    <t>Data / Information Security - Ensure safe data practices for fellowship applicants</t>
  </si>
  <si>
    <t>Data / Information Security - Minimize existing sensitive data</t>
  </si>
  <si>
    <t>Q1, Q2</t>
  </si>
  <si>
    <t>T'helah, Miri</t>
  </si>
  <si>
    <t>Resources - USA, Full Year</t>
  </si>
  <si>
    <t>Data / Information Security - 2FA enforcement for Google Workspace</t>
  </si>
  <si>
    <t>Data / Information Security - Cybersecurity policy - create</t>
  </si>
  <si>
    <t>Data / Information Security - Cybersecurity policy - implement</t>
  </si>
  <si>
    <t>Data / Information Security - Map existing hardware providers</t>
  </si>
  <si>
    <t>Data / Information Security - Map existing software systems</t>
  </si>
  <si>
    <t>Pedagogy Lesson Plan Creation / "Bookshelf" App</t>
  </si>
  <si>
    <t>Google Drive Reboot - Planning</t>
  </si>
  <si>
    <t>Google Drive Reboot - Implementation</t>
  </si>
  <si>
    <r>
      <rPr>
        <color rgb="FF1155CC"/>
        <sz val="8.0"/>
        <u/>
      </rPr>
      <t>monday.com</t>
    </r>
    <r>
      <rPr>
        <sz val="8.0"/>
      </rPr>
      <t xml:space="preserve"> Reboot</t>
    </r>
  </si>
  <si>
    <t>Sagi, Ido Dvir</t>
  </si>
  <si>
    <r>
      <rPr>
        <color rgb="FF1155CC"/>
        <sz val="8.0"/>
        <u/>
      </rPr>
      <t>monday.com</t>
    </r>
    <r>
      <rPr>
        <sz val="8.0"/>
      </rPr>
      <t xml:space="preserve"> Reboot</t>
    </r>
  </si>
  <si>
    <t>Practice Pal - finish WeSpeak</t>
  </si>
  <si>
    <t>Leila, Jennifer</t>
  </si>
  <si>
    <t>Practice Pal - voice recognition</t>
  </si>
  <si>
    <t>Newsletter - Tech Support</t>
  </si>
  <si>
    <t>Resources - Israel, Resources - USA</t>
  </si>
  <si>
    <t>Build Recruitment System</t>
  </si>
  <si>
    <t>Maayan, Ido Dvir</t>
  </si>
  <si>
    <t>Adopt Slack</t>
  </si>
  <si>
    <t>TALMA.digital - Online Lessons</t>
  </si>
  <si>
    <t>TALMA.digital - All teachers and programs included in system</t>
  </si>
  <si>
    <t>TALMA.digital - Ministry of Education authorization</t>
  </si>
  <si>
    <r>
      <rPr>
        <rFont val="Arial"/>
        <color rgb="FF000000"/>
        <sz val="8.0"/>
      </rPr>
      <t>TALMAisrael.com</t>
    </r>
    <r>
      <rPr>
        <rFont val="Arial"/>
        <color theme="1"/>
        <sz val="8.0"/>
      </rPr>
      <t xml:space="preserve"> website</t>
    </r>
  </si>
  <si>
    <t>TALMAisrael.com - Hebrew site</t>
  </si>
  <si>
    <t>Shay, Shani</t>
  </si>
  <si>
    <r>
      <rPr>
        <rFont val="Arial"/>
        <color rgb="FF000000"/>
        <sz val="8.0"/>
      </rPr>
      <t>TALMAisrael.com</t>
    </r>
    <r>
      <rPr>
        <rFont val="Arial"/>
        <color theme="1"/>
        <sz val="8.0"/>
      </rPr>
      <t xml:space="preserve"> website</t>
    </r>
  </si>
  <si>
    <t>TALMAisrael.com - Design</t>
  </si>
  <si>
    <r>
      <rPr>
        <rFont val="Arial"/>
        <color rgb="FF000000"/>
        <sz val="8.0"/>
      </rPr>
      <t>TALMAisrael.com</t>
    </r>
    <r>
      <rPr>
        <rFont val="Arial"/>
        <color theme="1"/>
        <sz val="8.0"/>
      </rPr>
      <t xml:space="preserve"> website</t>
    </r>
  </si>
  <si>
    <t>TALMAisrael.com - Blog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</si>
</sst>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numFmt numFmtId="165" formatCode="[$ ₪]#,##0.00"/>
    <numFmt numFmtId="166" formatCode="m/d/yyyy"/>
    <numFmt numFmtId="167" formatCode="M/d/yyyy"/>
    <numFmt numFmtId="168" formatCode="[$ ₪]#,##0"/>
  </numFmts>
  <fonts count="20">
    <font>
      <sz val="10.0"/>
      <color rgb="FF000000"/>
      <name val="Arial"/>
      <scheme val="minor"/>
    </font>
    <font>
      <b/>
      <sz val="16.0"/>
      <color theme="1"/>
      <name val="Arial"/>
      <scheme val="minor"/>
    </font>
    <font>
      <b/>
      <color theme="1"/>
      <name val="Arial"/>
      <scheme val="minor"/>
    </font>
    <font>
      <color theme="1"/>
      <name val="Arial"/>
      <scheme val="minor"/>
    </font>
    <font>
      <sz val="8.0"/>
      <color theme="1"/>
      <name val="Arial"/>
    </font>
    <font>
      <sz val="10.0"/>
      <color theme="1"/>
      <name val="Arial"/>
    </font>
    <font>
      <strike/>
      <sz val="8.0"/>
      <color theme="1"/>
      <name val="Arial"/>
    </font>
    <font>
      <b/>
      <sz val="8.0"/>
      <color theme="1"/>
      <name val="Arial"/>
      <scheme val="minor"/>
    </font>
    <font>
      <sz val="8.0"/>
      <color theme="1"/>
      <name val="Arial"/>
      <scheme val="minor"/>
    </font>
    <font>
      <b/>
      <sz val="8.0"/>
      <color theme="1"/>
      <name val="Arial"/>
    </font>
    <font>
      <sz val="8.0"/>
      <color theme="1"/>
      <name val="Helvetica Neue"/>
    </font>
    <font>
      <strike/>
      <sz val="8.0"/>
      <color theme="1"/>
      <name val="Helvetica Neue"/>
    </font>
    <font>
      <strike/>
      <sz val="8.0"/>
      <color theme="1"/>
      <name val="Arial"/>
      <scheme val="minor"/>
    </font>
    <font>
      <color theme="1"/>
      <name val="Arial"/>
    </font>
    <font>
      <i/>
      <strike/>
      <sz val="8.0"/>
      <color theme="1"/>
      <name val="Arial"/>
    </font>
    <font>
      <b/>
      <sz val="9.0"/>
      <color theme="1"/>
      <name val="Arial"/>
    </font>
    <font>
      <sz val="9.0"/>
      <color theme="1"/>
      <name val="Arial"/>
    </font>
    <font>
      <sz val="9.0"/>
      <color rgb="FF000000"/>
      <name val="Arial"/>
    </font>
    <font>
      <sz val="8.0"/>
      <color rgb="FF1D1C1D"/>
      <name val="Arial"/>
    </font>
    <font>
      <u/>
      <sz val="8.0"/>
      <color rgb="FF0000FF"/>
    </font>
  </fonts>
  <fills count="14">
    <fill>
      <patternFill patternType="none"/>
    </fill>
    <fill>
      <patternFill patternType="lightGray"/>
    </fill>
    <fill>
      <patternFill patternType="solid">
        <fgColor rgb="FFFF9900"/>
        <bgColor rgb="FFFF9900"/>
      </patternFill>
    </fill>
    <fill>
      <patternFill patternType="solid">
        <fgColor rgb="FFD9EAD3"/>
        <bgColor rgb="FFD9EAD3"/>
      </patternFill>
    </fill>
    <fill>
      <patternFill patternType="solid">
        <fgColor rgb="FF00FFFF"/>
        <bgColor rgb="FF00FFFF"/>
      </patternFill>
    </fill>
    <fill>
      <patternFill patternType="solid">
        <fgColor rgb="FFFCE5CD"/>
        <bgColor rgb="FFFCE5CD"/>
      </patternFill>
    </fill>
    <fill>
      <patternFill patternType="solid">
        <fgColor rgb="FFFFF2CC"/>
        <bgColor rgb="FFFFF2CC"/>
      </patternFill>
    </fill>
    <fill>
      <patternFill patternType="solid">
        <fgColor rgb="FFFFFF00"/>
        <bgColor rgb="FFFFFF00"/>
      </patternFill>
    </fill>
    <fill>
      <patternFill patternType="solid">
        <fgColor rgb="FF00FF00"/>
        <bgColor rgb="FF00FF00"/>
      </patternFill>
    </fill>
    <fill>
      <patternFill patternType="solid">
        <fgColor rgb="FFD9D2E9"/>
        <bgColor rgb="FFD9D2E9"/>
      </patternFill>
    </fill>
    <fill>
      <patternFill patternType="solid">
        <fgColor rgb="FFFF0000"/>
        <bgColor rgb="FFFF0000"/>
      </patternFill>
    </fill>
    <fill>
      <patternFill patternType="solid">
        <fgColor rgb="FFF3F3F3"/>
        <bgColor rgb="FFF3F3F3"/>
      </patternFill>
    </fill>
    <fill>
      <patternFill patternType="solid">
        <fgColor rgb="FFF8F8F8"/>
        <bgColor rgb="FFF8F8F8"/>
      </patternFill>
    </fill>
    <fill>
      <patternFill patternType="solid">
        <fgColor rgb="FFC9DAF8"/>
        <bgColor rgb="FFC9DAF8"/>
      </patternFill>
    </fill>
  </fills>
  <borders count="1">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4" numFmtId="0" xfId="0" applyAlignment="1" applyFont="1">
      <alignment horizontal="left" readingOrder="0" shrinkToFit="0" wrapText="1"/>
    </xf>
    <xf borderId="0" fillId="0" fontId="5" numFmtId="0" xfId="0" applyAlignment="1" applyFont="1">
      <alignment vertical="bottom"/>
    </xf>
    <xf borderId="0" fillId="0" fontId="4" numFmtId="0" xfId="0" applyAlignment="1" applyFont="1">
      <alignment horizontal="left" shrinkToFit="0" wrapText="1"/>
    </xf>
    <xf borderId="0" fillId="0" fontId="6" numFmtId="0" xfId="0" applyAlignment="1" applyFont="1">
      <alignment horizontal="left" shrinkToFit="0" wrapText="1"/>
    </xf>
    <xf borderId="0" fillId="3" fontId="1" numFmtId="0" xfId="0" applyAlignment="1" applyFill="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left" readingOrder="0"/>
    </xf>
    <xf borderId="0" fillId="0" fontId="3" numFmtId="0" xfId="0" applyAlignment="1" applyFont="1">
      <alignment horizontal="left"/>
    </xf>
    <xf borderId="0" fillId="0" fontId="3" numFmtId="0" xfId="0" applyAlignment="1" applyFont="1">
      <alignment horizontal="left" readingOrder="0"/>
    </xf>
    <xf borderId="0" fillId="0" fontId="3" numFmtId="0" xfId="0" applyAlignment="1" applyFont="1">
      <alignment horizontal="left" readingOrder="0"/>
    </xf>
    <xf borderId="0" fillId="0" fontId="7" numFmtId="0" xfId="0" applyAlignment="1" applyFont="1">
      <alignment readingOrder="0" shrinkToFit="0" wrapText="1"/>
    </xf>
    <xf borderId="0" fillId="0" fontId="7" numFmtId="0" xfId="0" applyAlignment="1" applyFont="1">
      <alignment shrinkToFit="0" wrapText="1"/>
    </xf>
    <xf borderId="0" fillId="0" fontId="7" numFmtId="0" xfId="0" applyAlignment="1" applyFont="1">
      <alignment shrinkToFit="0" wrapText="1"/>
    </xf>
    <xf borderId="0" fillId="0" fontId="2" numFmtId="0" xfId="0" applyAlignment="1" applyFont="1">
      <alignment shrinkToFit="0" wrapText="1"/>
    </xf>
    <xf borderId="0" fillId="4" fontId="8" numFmtId="0" xfId="0" applyAlignment="1" applyFill="1" applyFont="1">
      <alignment readingOrder="0"/>
    </xf>
    <xf borderId="0" fillId="4" fontId="8" numFmtId="0" xfId="0" applyAlignment="1" applyFont="1">
      <alignment readingOrder="0" shrinkToFit="0" wrapText="1"/>
    </xf>
    <xf borderId="0" fillId="4" fontId="8" numFmtId="0" xfId="0" applyAlignment="1" applyFont="1">
      <alignment readingOrder="0"/>
    </xf>
    <xf borderId="0" fillId="4" fontId="8" numFmtId="164" xfId="0" applyAlignment="1" applyFont="1" applyNumberFormat="1">
      <alignment readingOrder="0"/>
    </xf>
    <xf borderId="0" fillId="4" fontId="8" numFmtId="0" xfId="0" applyFont="1"/>
    <xf borderId="0" fillId="4" fontId="8" numFmtId="165" xfId="0" applyFont="1" applyNumberFormat="1"/>
    <xf borderId="0" fillId="4" fontId="8" numFmtId="166" xfId="0" applyFont="1" applyNumberFormat="1"/>
    <xf borderId="0" fillId="4" fontId="3" numFmtId="166" xfId="0" applyFont="1" applyNumberFormat="1"/>
    <xf borderId="0" fillId="0" fontId="8" numFmtId="0" xfId="0" applyAlignment="1" applyFont="1">
      <alignment readingOrder="0"/>
    </xf>
    <xf borderId="0" fillId="0" fontId="8" numFmtId="0" xfId="0" applyAlignment="1" applyFont="1">
      <alignment readingOrder="0"/>
    </xf>
    <xf borderId="0" fillId="0" fontId="8" numFmtId="0" xfId="0" applyAlignment="1" applyFont="1">
      <alignment readingOrder="0" shrinkToFit="0" wrapText="1"/>
    </xf>
    <xf borderId="0" fillId="0" fontId="8" numFmtId="0" xfId="0" applyFont="1"/>
    <xf borderId="0" fillId="0" fontId="8" numFmtId="164" xfId="0" applyAlignment="1" applyFont="1" applyNumberFormat="1">
      <alignment readingOrder="0"/>
    </xf>
    <xf borderId="0" fillId="0" fontId="8" numFmtId="165" xfId="0" applyFont="1" applyNumberFormat="1"/>
    <xf borderId="0" fillId="0" fontId="8" numFmtId="0" xfId="0" applyAlignment="1" applyFont="1">
      <alignment readingOrder="0"/>
    </xf>
    <xf borderId="0" fillId="0" fontId="3" numFmtId="166" xfId="0" applyFont="1" applyNumberFormat="1"/>
    <xf borderId="0" fillId="0" fontId="8" numFmtId="166" xfId="0" applyFont="1" applyNumberFormat="1"/>
    <xf borderId="0" fillId="0" fontId="8" numFmtId="166" xfId="0" applyAlignment="1" applyFont="1" applyNumberFormat="1">
      <alignment shrinkToFit="0" wrapText="1"/>
    </xf>
    <xf borderId="0" fillId="0" fontId="8" numFmtId="164" xfId="0" applyFont="1" applyNumberFormat="1"/>
    <xf borderId="0" fillId="0" fontId="8" numFmtId="0" xfId="0" applyAlignment="1" applyFont="1">
      <alignment readingOrder="0" shrinkToFit="0" wrapText="1"/>
    </xf>
    <xf borderId="0" fillId="5" fontId="8" numFmtId="0" xfId="0" applyAlignment="1" applyFill="1" applyFont="1">
      <alignment readingOrder="0"/>
    </xf>
    <xf borderId="0" fillId="5" fontId="8" numFmtId="0" xfId="0" applyAlignment="1" applyFont="1">
      <alignment readingOrder="0"/>
    </xf>
    <xf borderId="0" fillId="5" fontId="8" numFmtId="0" xfId="0" applyAlignment="1" applyFont="1">
      <alignment readingOrder="0" shrinkToFit="0" wrapText="1"/>
    </xf>
    <xf borderId="0" fillId="5" fontId="8" numFmtId="0" xfId="0" applyFont="1"/>
    <xf borderId="0" fillId="5" fontId="8" numFmtId="164" xfId="0" applyFont="1" applyNumberFormat="1"/>
    <xf borderId="0" fillId="5" fontId="8" numFmtId="165" xfId="0" applyFont="1" applyNumberFormat="1"/>
    <xf borderId="0" fillId="5" fontId="8" numFmtId="166" xfId="0" applyFont="1" applyNumberFormat="1"/>
    <xf borderId="0" fillId="5" fontId="3" numFmtId="166" xfId="0" applyFont="1" applyNumberFormat="1"/>
    <xf borderId="0" fillId="0" fontId="8" numFmtId="14" xfId="0" applyAlignment="1" applyFont="1" applyNumberFormat="1">
      <alignment readingOrder="0"/>
    </xf>
    <xf borderId="0" fillId="0" fontId="8" numFmtId="0" xfId="0" applyFont="1"/>
    <xf borderId="0" fillId="0" fontId="9" numFmtId="0" xfId="0" applyAlignment="1" applyFont="1">
      <alignment horizontal="center" readingOrder="0" shrinkToFit="0" wrapText="1"/>
    </xf>
    <xf borderId="0" fillId="0" fontId="9" numFmtId="0" xfId="0" applyAlignment="1" applyFont="1">
      <alignment horizontal="center" shrinkToFit="0" wrapText="1"/>
    </xf>
    <xf borderId="0" fillId="0" fontId="8" numFmtId="0" xfId="0" applyAlignment="1" applyFont="1">
      <alignment horizontal="center" readingOrder="0"/>
    </xf>
    <xf borderId="0" fillId="0" fontId="8" numFmtId="0" xfId="0" applyAlignment="1" applyFont="1">
      <alignment horizontal="center"/>
    </xf>
    <xf borderId="0" fillId="0" fontId="10" numFmtId="0" xfId="0" applyAlignment="1" applyFont="1">
      <alignment horizontal="left" readingOrder="0" shrinkToFit="0" wrapText="1"/>
    </xf>
    <xf borderId="0" fillId="0" fontId="8" numFmtId="0" xfId="0" applyAlignment="1" applyFont="1">
      <alignment horizontal="left"/>
    </xf>
    <xf borderId="0" fillId="0" fontId="4" numFmtId="166" xfId="0" applyAlignment="1" applyFont="1" applyNumberFormat="1">
      <alignment horizontal="left" shrinkToFit="0" wrapText="1"/>
    </xf>
    <xf borderId="0" fillId="0" fontId="4" numFmtId="166" xfId="0" applyAlignment="1" applyFont="1" applyNumberFormat="1">
      <alignment horizontal="left"/>
    </xf>
    <xf borderId="0" fillId="0" fontId="6" numFmtId="0" xfId="0" applyAlignment="1" applyFont="1">
      <alignment horizontal="left" readingOrder="0" shrinkToFit="0" wrapText="1"/>
    </xf>
    <xf borderId="0" fillId="0" fontId="11" numFmtId="0" xfId="0" applyAlignment="1" applyFont="1">
      <alignment horizontal="left" shrinkToFit="0" wrapText="1"/>
    </xf>
    <xf borderId="0" fillId="0" fontId="12" numFmtId="0" xfId="0" applyAlignment="1" applyFont="1">
      <alignment horizontal="left"/>
    </xf>
    <xf borderId="0" fillId="0" fontId="6" numFmtId="166" xfId="0" applyAlignment="1" applyFont="1" applyNumberFormat="1">
      <alignment horizontal="left" shrinkToFit="0" wrapText="1"/>
    </xf>
    <xf borderId="0" fillId="0" fontId="6" numFmtId="166" xfId="0" applyAlignment="1" applyFont="1" applyNumberFormat="1">
      <alignment horizontal="left"/>
    </xf>
    <xf borderId="0" fillId="4" fontId="4" numFmtId="0" xfId="0" applyAlignment="1" applyFont="1">
      <alignment horizontal="left" shrinkToFit="0" wrapText="1"/>
    </xf>
    <xf borderId="0" fillId="4" fontId="4" numFmtId="0" xfId="0" applyAlignment="1" applyFont="1">
      <alignment horizontal="left" readingOrder="0" shrinkToFit="0" wrapText="1"/>
    </xf>
    <xf borderId="0" fillId="4" fontId="8" numFmtId="0" xfId="0" applyAlignment="1" applyFont="1">
      <alignment horizontal="left"/>
    </xf>
    <xf borderId="0" fillId="4" fontId="4" numFmtId="166" xfId="0" applyAlignment="1" applyFont="1" applyNumberFormat="1">
      <alignment horizontal="left" shrinkToFit="0" wrapText="1"/>
    </xf>
    <xf borderId="0" fillId="4" fontId="4" numFmtId="166" xfId="0" applyAlignment="1" applyFont="1" applyNumberFormat="1">
      <alignment horizontal="left"/>
    </xf>
    <xf borderId="0" fillId="6" fontId="4" numFmtId="0" xfId="0" applyAlignment="1" applyFill="1" applyFont="1">
      <alignment horizontal="left" readingOrder="0" shrinkToFit="0" wrapText="1"/>
    </xf>
    <xf borderId="0" fillId="0" fontId="4" numFmtId="167" xfId="0" applyAlignment="1" applyFont="1" applyNumberFormat="1">
      <alignment horizontal="left" shrinkToFit="0" wrapText="1"/>
    </xf>
    <xf borderId="0" fillId="0" fontId="4" numFmtId="0" xfId="0" applyAlignment="1" applyFont="1">
      <alignment horizontal="left" readingOrder="0" shrinkToFit="0" wrapText="1"/>
    </xf>
    <xf borderId="0" fillId="0" fontId="4" numFmtId="166" xfId="0" applyAlignment="1" applyFont="1" applyNumberFormat="1">
      <alignment horizontal="left" readingOrder="0" shrinkToFit="0" wrapText="1"/>
    </xf>
    <xf borderId="0" fillId="0" fontId="10" numFmtId="0" xfId="0" applyAlignment="1" applyFont="1">
      <alignment horizontal="left" shrinkToFit="0" wrapText="1"/>
    </xf>
    <xf borderId="0" fillId="0" fontId="4" numFmtId="0" xfId="0" applyAlignment="1" applyFont="1">
      <alignment horizontal="left"/>
    </xf>
    <xf borderId="0" fillId="4" fontId="4" numFmtId="0" xfId="0" applyAlignment="1" applyFont="1">
      <alignment horizontal="left" readingOrder="0" shrinkToFit="0" wrapText="1"/>
    </xf>
    <xf borderId="0" fillId="4" fontId="4" numFmtId="0" xfId="0" applyAlignment="1" applyFont="1">
      <alignment horizontal="left"/>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13" numFmtId="0" xfId="0" applyAlignment="1" applyFont="1">
      <alignment vertical="bottom"/>
    </xf>
    <xf borderId="0" fillId="0" fontId="4" numFmtId="166" xfId="0" applyAlignment="1" applyFont="1" applyNumberFormat="1">
      <alignment shrinkToFit="0" vertical="bottom" wrapText="1"/>
    </xf>
    <xf borderId="0" fillId="0" fontId="13" numFmtId="166" xfId="0" applyAlignment="1" applyFont="1" applyNumberFormat="1">
      <alignment vertical="bottom"/>
    </xf>
    <xf borderId="0" fillId="0" fontId="4" numFmtId="0" xfId="0" applyAlignment="1" applyFont="1">
      <alignment horizontal="left" shrinkToFit="0" wrapText="1"/>
    </xf>
    <xf borderId="0" fillId="4" fontId="8" numFmtId="0" xfId="0" applyAlignment="1" applyFont="1">
      <alignment horizontal="left" readingOrder="0"/>
    </xf>
    <xf borderId="0" fillId="0" fontId="9" numFmtId="0" xfId="0" applyAlignment="1" applyFont="1">
      <alignment shrinkToFit="0" vertical="bottom" wrapText="1"/>
    </xf>
    <xf borderId="0" fillId="0" fontId="9" numFmtId="0" xfId="0" applyAlignment="1" applyFont="1">
      <alignment shrinkToFit="0" vertical="bottom" wrapText="1"/>
    </xf>
    <xf borderId="0" fillId="0" fontId="9" numFmtId="0" xfId="0" applyAlignment="1" applyFont="1">
      <alignment vertical="bottom"/>
    </xf>
    <xf borderId="0" fillId="0" fontId="9" numFmtId="0" xfId="0" applyAlignment="1" applyFont="1">
      <alignment horizontal="center" vertical="bottom"/>
    </xf>
    <xf borderId="0" fillId="0" fontId="9" numFmtId="0" xfId="0" applyAlignment="1" applyFont="1">
      <alignment horizontal="center" readingOrder="0" vertical="bottom"/>
    </xf>
    <xf borderId="0" fillId="0" fontId="4" numFmtId="0" xfId="0" applyAlignment="1" applyFont="1">
      <alignment vertical="bottom"/>
    </xf>
    <xf borderId="0" fillId="4" fontId="4" numFmtId="0" xfId="0" applyAlignment="1" applyFont="1">
      <alignment vertical="bottom"/>
    </xf>
    <xf borderId="0" fillId="4" fontId="4" numFmtId="0" xfId="0" applyAlignment="1" applyFont="1">
      <alignment vertical="bottom"/>
    </xf>
    <xf borderId="0" fillId="4" fontId="4" numFmtId="0" xfId="0" applyAlignment="1" applyFont="1">
      <alignment shrinkToFit="0" vertical="bottom" wrapText="1"/>
    </xf>
    <xf borderId="0" fillId="4" fontId="4" numFmtId="166" xfId="0" applyAlignment="1" applyFont="1" applyNumberFormat="1">
      <alignment horizontal="right" vertical="bottom"/>
    </xf>
    <xf borderId="0" fillId="0" fontId="4" numFmtId="0" xfId="0" applyAlignment="1" applyFont="1">
      <alignment vertical="bottom"/>
    </xf>
    <xf borderId="0" fillId="7" fontId="4" numFmtId="0" xfId="0" applyAlignment="1" applyFill="1" applyFont="1">
      <alignment vertical="bottom"/>
    </xf>
    <xf borderId="0" fillId="0" fontId="4" numFmtId="166" xfId="0" applyAlignment="1" applyFont="1" applyNumberFormat="1">
      <alignment vertical="bottom"/>
    </xf>
    <xf borderId="0" fillId="7" fontId="4" numFmtId="0" xfId="0" applyAlignment="1" applyFont="1">
      <alignment shrinkToFit="0" vertical="bottom" wrapText="1"/>
    </xf>
    <xf borderId="0" fillId="0" fontId="4" numFmtId="166" xfId="0" applyAlignment="1" applyFont="1" applyNumberFormat="1">
      <alignment horizontal="right" vertical="bottom"/>
    </xf>
    <xf borderId="0" fillId="8" fontId="4" numFmtId="0" xfId="0" applyAlignment="1" applyFill="1" applyFont="1">
      <alignment shrinkToFit="0" vertical="bottom" wrapText="1"/>
    </xf>
    <xf borderId="0" fillId="0" fontId="9" numFmtId="0" xfId="0" applyAlignment="1" applyFont="1">
      <alignment vertical="bottom"/>
    </xf>
    <xf borderId="0" fillId="0" fontId="9" numFmtId="166" xfId="0" applyAlignment="1" applyFont="1" applyNumberFormat="1">
      <alignment horizontal="right" vertical="bottom"/>
    </xf>
    <xf borderId="0" fillId="0" fontId="6" numFmtId="0" xfId="0" applyAlignment="1" applyFont="1">
      <alignment vertical="bottom"/>
    </xf>
    <xf borderId="0" fillId="0" fontId="6" numFmtId="0" xfId="0" applyAlignment="1" applyFont="1">
      <alignment shrinkToFit="0" vertical="bottom" wrapText="1"/>
    </xf>
    <xf borderId="0" fillId="0" fontId="6" numFmtId="166" xfId="0" applyAlignment="1" applyFont="1" applyNumberFormat="1">
      <alignment horizontal="right" vertical="bottom"/>
    </xf>
    <xf borderId="0" fillId="0" fontId="4" numFmtId="0" xfId="0" applyAlignment="1" applyFont="1">
      <alignment horizontal="right" shrinkToFit="0" vertical="bottom" wrapText="1"/>
    </xf>
    <xf borderId="0" fillId="0" fontId="14" numFmtId="0" xfId="0" applyAlignment="1" applyFont="1">
      <alignment vertical="bottom"/>
    </xf>
    <xf borderId="0" fillId="0" fontId="14" numFmtId="0" xfId="0" applyAlignment="1" applyFont="1">
      <alignment vertical="bottom"/>
    </xf>
    <xf borderId="0" fillId="0" fontId="14" numFmtId="0" xfId="0" applyAlignment="1" applyFont="1">
      <alignment shrinkToFit="0" vertical="bottom" wrapText="1"/>
    </xf>
    <xf borderId="0" fillId="0" fontId="14" numFmtId="0" xfId="0" applyAlignment="1" applyFont="1">
      <alignment horizontal="right" shrinkToFit="0" vertical="bottom" wrapText="1"/>
    </xf>
    <xf borderId="0" fillId="0" fontId="14" numFmtId="166" xfId="0" applyAlignment="1" applyFont="1" applyNumberFormat="1">
      <alignment horizontal="right" vertical="bottom"/>
    </xf>
    <xf borderId="0" fillId="4" fontId="9" numFmtId="0" xfId="0" applyAlignment="1" applyFont="1">
      <alignment vertical="bottom"/>
    </xf>
    <xf borderId="0" fillId="4" fontId="9" numFmtId="0" xfId="0" applyAlignment="1" applyFont="1">
      <alignment vertical="bottom"/>
    </xf>
    <xf borderId="0" fillId="4" fontId="9" numFmtId="0" xfId="0" applyAlignment="1" applyFont="1">
      <alignment shrinkToFit="0" vertical="bottom" wrapText="1"/>
    </xf>
    <xf borderId="0" fillId="4" fontId="4" numFmtId="166" xfId="0" applyAlignment="1" applyFont="1" applyNumberFormat="1">
      <alignment vertical="bottom"/>
    </xf>
    <xf borderId="0" fillId="4" fontId="9" numFmtId="0" xfId="0" applyAlignment="1" applyFont="1">
      <alignment shrinkToFit="0" vertical="bottom" wrapText="1"/>
    </xf>
    <xf borderId="0" fillId="0" fontId="9" numFmtId="0" xfId="0" applyAlignment="1" applyFont="1">
      <alignment readingOrder="0" vertical="bottom"/>
    </xf>
    <xf borderId="0" fillId="0" fontId="4" numFmtId="0" xfId="0" applyAlignment="1" applyFont="1">
      <alignment readingOrder="0" vertical="bottom"/>
    </xf>
    <xf borderId="0" fillId="4" fontId="4" numFmtId="0" xfId="0" applyAlignment="1" applyFont="1">
      <alignment shrinkToFit="0" vertical="bottom" wrapText="1"/>
    </xf>
    <xf borderId="0" fillId="0" fontId="9" numFmtId="0" xfId="0" applyAlignment="1" applyFont="1">
      <alignment readingOrder="0" vertical="bottom"/>
    </xf>
    <xf borderId="0" fillId="0" fontId="9" numFmtId="0" xfId="0" applyAlignment="1" applyFont="1">
      <alignment readingOrder="0" shrinkToFit="0" vertical="bottom" wrapText="1"/>
    </xf>
    <xf borderId="0" fillId="4" fontId="9" numFmtId="0" xfId="0" applyAlignment="1" applyFont="1">
      <alignment readingOrder="0" vertical="bottom"/>
    </xf>
    <xf borderId="0" fillId="4" fontId="9" numFmtId="0" xfId="0" applyAlignment="1" applyFont="1">
      <alignment readingOrder="0" vertical="bottom"/>
    </xf>
    <xf borderId="0" fillId="4" fontId="9" numFmtId="0" xfId="0" applyAlignment="1" applyFont="1">
      <alignment readingOrder="0" shrinkToFit="0" vertical="bottom" wrapText="1"/>
    </xf>
    <xf borderId="0" fillId="4" fontId="9" numFmtId="166" xfId="0" applyAlignment="1" applyFont="1" applyNumberFormat="1">
      <alignment horizontal="right" vertical="bottom"/>
    </xf>
    <xf borderId="0" fillId="9" fontId="4" numFmtId="0" xfId="0" applyAlignment="1" applyFill="1" applyFont="1">
      <alignment readingOrder="0" vertical="bottom"/>
    </xf>
    <xf borderId="0" fillId="9" fontId="4" numFmtId="0" xfId="0" applyAlignment="1" applyFont="1">
      <alignment readingOrder="0" vertical="bottom"/>
    </xf>
    <xf borderId="0" fillId="9" fontId="4" numFmtId="0" xfId="0" applyAlignment="1" applyFont="1">
      <alignment readingOrder="0" shrinkToFit="0" vertical="bottom" wrapText="1"/>
    </xf>
    <xf borderId="0" fillId="9" fontId="4" numFmtId="0" xfId="0" applyAlignment="1" applyFont="1">
      <alignment horizontal="right" shrinkToFit="0" vertical="bottom" wrapText="1"/>
    </xf>
    <xf borderId="0" fillId="9" fontId="4" numFmtId="0" xfId="0" applyAlignment="1" applyFont="1">
      <alignment vertical="bottom"/>
    </xf>
    <xf borderId="0" fillId="9" fontId="4" numFmtId="166" xfId="0" applyAlignment="1" applyFont="1" applyNumberFormat="1">
      <alignment horizontal="right" vertical="bottom"/>
    </xf>
    <xf borderId="0" fillId="9" fontId="4" numFmtId="0" xfId="0" applyAlignment="1" applyFont="1">
      <alignment horizontal="right" vertical="bottom"/>
    </xf>
    <xf borderId="0" fillId="2" fontId="4" numFmtId="0" xfId="0" applyAlignment="1" applyFont="1">
      <alignment shrinkToFit="0" vertical="bottom" wrapText="1"/>
    </xf>
    <xf borderId="0" fillId="0" fontId="4" numFmtId="0" xfId="0" applyAlignment="1" applyFont="1">
      <alignment horizontal="right" shrinkToFit="0" vertical="bottom" wrapText="1"/>
    </xf>
    <xf borderId="0" fillId="0" fontId="4" numFmtId="0" xfId="0" applyAlignment="1" applyFont="1">
      <alignment shrinkToFit="0" vertical="bottom" wrapText="1"/>
    </xf>
    <xf borderId="0" fillId="0" fontId="4" numFmtId="0" xfId="0" applyAlignment="1" applyFont="1">
      <alignment horizontal="right" vertical="bottom"/>
    </xf>
    <xf borderId="0" fillId="0" fontId="7" numFmtId="0" xfId="0" applyAlignment="1" applyFont="1">
      <alignment readingOrder="0"/>
    </xf>
    <xf borderId="0" fillId="0" fontId="7" numFmtId="0" xfId="0" applyFont="1"/>
    <xf borderId="0" fillId="0" fontId="7" numFmtId="0" xfId="0" applyFont="1"/>
    <xf borderId="0" fillId="0" fontId="8" numFmtId="0" xfId="0" applyAlignment="1" applyFont="1">
      <alignment shrinkToFit="0" wrapText="1"/>
    </xf>
    <xf borderId="0" fillId="0" fontId="8" numFmtId="14" xfId="0" applyFont="1" applyNumberFormat="1"/>
    <xf borderId="0" fillId="4" fontId="8" numFmtId="14" xfId="0" applyFont="1" applyNumberFormat="1"/>
    <xf borderId="0" fillId="10" fontId="4" numFmtId="0" xfId="0" applyAlignment="1" applyFill="1" applyFont="1">
      <alignment horizontal="left" shrinkToFit="0" wrapText="1"/>
    </xf>
    <xf borderId="0" fillId="10" fontId="4" numFmtId="0" xfId="0" applyAlignment="1" applyFont="1">
      <alignment horizontal="left" readingOrder="0" shrinkToFit="0" wrapText="1"/>
    </xf>
    <xf borderId="0" fillId="10" fontId="4" numFmtId="0" xfId="0" applyAlignment="1" applyFont="1">
      <alignment horizontal="left" readingOrder="0" shrinkToFit="0" wrapText="1"/>
    </xf>
    <xf borderId="0" fillId="10" fontId="8" numFmtId="0" xfId="0" applyFont="1"/>
    <xf borderId="0" fillId="10" fontId="8" numFmtId="0" xfId="0" applyFont="1"/>
    <xf borderId="0" fillId="10" fontId="4" numFmtId="166" xfId="0" applyAlignment="1" applyFont="1" applyNumberFormat="1">
      <alignment horizontal="left" shrinkToFit="0" wrapText="1"/>
    </xf>
    <xf borderId="0" fillId="10" fontId="4" numFmtId="0" xfId="0" applyAlignment="1" applyFont="1">
      <alignment horizontal="left"/>
    </xf>
    <xf borderId="0" fillId="10" fontId="4" numFmtId="165" xfId="0" applyAlignment="1" applyFont="1" applyNumberFormat="1">
      <alignment horizontal="left"/>
    </xf>
    <xf borderId="0" fillId="10" fontId="4" numFmtId="166" xfId="0" applyAlignment="1" applyFont="1" applyNumberFormat="1">
      <alignment horizontal="left"/>
    </xf>
    <xf borderId="0" fillId="11" fontId="4" numFmtId="0" xfId="0" applyAlignment="1" applyFill="1" applyFont="1">
      <alignment horizontal="left" readingOrder="0" shrinkToFit="0" wrapText="1"/>
    </xf>
    <xf borderId="0" fillId="0" fontId="4" numFmtId="165" xfId="0" applyAlignment="1" applyFont="1" applyNumberFormat="1">
      <alignment horizontal="left"/>
    </xf>
    <xf borderId="0" fillId="11" fontId="4" numFmtId="0" xfId="0" applyAlignment="1" applyFont="1">
      <alignment horizontal="left" shrinkToFit="0" wrapText="1"/>
    </xf>
    <xf borderId="0" fillId="0" fontId="4" numFmtId="165" xfId="0" applyAlignment="1" applyFont="1" applyNumberFormat="1">
      <alignment vertical="bottom"/>
    </xf>
    <xf borderId="0" fillId="0" fontId="15" numFmtId="0" xfId="0" applyAlignment="1" applyFont="1">
      <alignment readingOrder="0" vertical="bottom"/>
    </xf>
    <xf borderId="0" fillId="0" fontId="15" numFmtId="0" xfId="0" applyAlignment="1" applyFont="1">
      <alignment horizontal="center" vertical="bottom"/>
    </xf>
    <xf borderId="0" fillId="0" fontId="15" numFmtId="0" xfId="0" applyAlignment="1" applyFont="1">
      <alignment horizontal="center" readingOrder="0" vertical="bottom"/>
    </xf>
    <xf borderId="0" fillId="0" fontId="15" numFmtId="0" xfId="0" applyAlignment="1" applyFont="1">
      <alignment horizontal="center" shrinkToFit="0" vertical="bottom" wrapText="1"/>
    </xf>
    <xf borderId="0" fillId="0" fontId="15" numFmtId="0" xfId="0" applyAlignment="1" applyFont="1">
      <alignment horizontal="center" readingOrder="0" shrinkToFit="0" vertical="bottom" wrapText="1"/>
    </xf>
    <xf borderId="0" fillId="0" fontId="16" numFmtId="0" xfId="0" applyAlignment="1" applyFont="1">
      <alignment vertical="bottom"/>
    </xf>
    <xf borderId="0" fillId="0" fontId="16" numFmtId="0" xfId="0" applyAlignment="1" applyFont="1">
      <alignment readingOrder="0" vertical="bottom"/>
    </xf>
    <xf borderId="0" fillId="0" fontId="16" numFmtId="0" xfId="0" applyAlignment="1" applyFont="1">
      <alignment readingOrder="0" shrinkToFit="0" vertical="bottom" wrapText="1"/>
    </xf>
    <xf borderId="0" fillId="0" fontId="16" numFmtId="0" xfId="0" applyAlignment="1" applyFont="1">
      <alignment readingOrder="0" vertical="bottom"/>
    </xf>
    <xf borderId="0" fillId="0" fontId="16" numFmtId="0" xfId="0" applyAlignment="1" applyFont="1">
      <alignment horizontal="center" vertical="bottom"/>
    </xf>
    <xf borderId="0" fillId="0" fontId="16" numFmtId="0" xfId="0" applyAlignment="1" applyFont="1">
      <alignment horizontal="center" readingOrder="0" vertical="bottom"/>
    </xf>
    <xf borderId="0" fillId="0" fontId="16" numFmtId="3" xfId="0" applyAlignment="1" applyFont="1" applyNumberFormat="1">
      <alignment horizontal="center" vertical="bottom"/>
    </xf>
    <xf borderId="0" fillId="0" fontId="16" numFmtId="0" xfId="0" applyAlignment="1" applyFont="1">
      <alignment shrinkToFit="0" vertical="bottom" wrapText="1"/>
    </xf>
    <xf borderId="0" fillId="0" fontId="16" numFmtId="0" xfId="0" applyAlignment="1" applyFont="1">
      <alignment horizontal="center" readingOrder="0" vertical="bottom"/>
    </xf>
    <xf borderId="0" fillId="0" fontId="17" numFmtId="0" xfId="0" applyAlignment="1" applyFont="1">
      <alignment horizontal="center"/>
    </xf>
    <xf borderId="0" fillId="0" fontId="16" numFmtId="3" xfId="0" applyAlignment="1" applyFont="1" applyNumberFormat="1">
      <alignment horizontal="center" readingOrder="0" vertical="bottom"/>
    </xf>
    <xf borderId="0" fillId="4" fontId="16" numFmtId="0" xfId="0" applyAlignment="1" applyFont="1">
      <alignment readingOrder="0" vertical="bottom"/>
    </xf>
    <xf borderId="0" fillId="4" fontId="16" numFmtId="0" xfId="0" applyAlignment="1" applyFont="1">
      <alignment vertical="bottom"/>
    </xf>
    <xf borderId="0" fillId="4" fontId="16" numFmtId="0" xfId="0" applyAlignment="1" applyFont="1">
      <alignment readingOrder="0" vertical="bottom"/>
    </xf>
    <xf borderId="0" fillId="4" fontId="16" numFmtId="0" xfId="0" applyAlignment="1" applyFont="1">
      <alignment readingOrder="0" shrinkToFit="0" vertical="bottom" wrapText="1"/>
    </xf>
    <xf borderId="0" fillId="4" fontId="16" numFmtId="0" xfId="0" applyAlignment="1" applyFont="1">
      <alignment horizontal="center" vertical="bottom"/>
    </xf>
    <xf borderId="0" fillId="4" fontId="16" numFmtId="0" xfId="0" applyAlignment="1" applyFont="1">
      <alignment shrinkToFit="0" vertical="bottom" wrapText="1"/>
    </xf>
    <xf borderId="0" fillId="4" fontId="3" numFmtId="0" xfId="0" applyFont="1"/>
    <xf borderId="0" fillId="4" fontId="16" numFmtId="0" xfId="0" applyAlignment="1" applyFont="1">
      <alignment horizontal="center" readingOrder="0" vertical="bottom"/>
    </xf>
    <xf borderId="0" fillId="10" fontId="16" numFmtId="0" xfId="0" applyAlignment="1" applyFont="1">
      <alignment vertical="bottom"/>
    </xf>
    <xf borderId="0" fillId="10" fontId="16" numFmtId="0" xfId="0" applyAlignment="1" applyFont="1">
      <alignment readingOrder="0" vertical="bottom"/>
    </xf>
    <xf borderId="0" fillId="10" fontId="16" numFmtId="0" xfId="0" applyAlignment="1" applyFont="1">
      <alignment shrinkToFit="0" vertical="bottom" wrapText="1"/>
    </xf>
    <xf borderId="0" fillId="10" fontId="16" numFmtId="0" xfId="0" applyAlignment="1" applyFont="1">
      <alignment horizontal="center" vertical="bottom"/>
    </xf>
    <xf borderId="0" fillId="10" fontId="3" numFmtId="0" xfId="0" applyFont="1"/>
    <xf borderId="0" fillId="0" fontId="3" numFmtId="0" xfId="0" applyAlignment="1" applyFont="1">
      <alignment shrinkToFit="0" wrapText="1"/>
    </xf>
    <xf borderId="0" fillId="0" fontId="9" numFmtId="0" xfId="0" applyAlignment="1" applyFont="1">
      <alignment horizontal="left" readingOrder="0" shrinkToFit="0" vertical="bottom" wrapText="1"/>
    </xf>
    <xf borderId="0" fillId="0" fontId="9" numFmtId="0" xfId="0" applyAlignment="1" applyFont="1">
      <alignment horizontal="left" shrinkToFit="0" vertical="bottom" wrapText="1"/>
    </xf>
    <xf borderId="0" fillId="0" fontId="4" numFmtId="0" xfId="0" applyAlignment="1" applyFont="1">
      <alignment horizontal="left" readingOrder="0" vertical="bottom"/>
    </xf>
    <xf borderId="0" fillId="0" fontId="9" numFmtId="0" xfId="0" applyAlignment="1" applyFont="1">
      <alignment horizontal="left" readingOrder="1" shrinkToFit="0" vertical="bottom" wrapText="1"/>
    </xf>
    <xf borderId="0" fillId="0" fontId="4" numFmtId="0" xfId="0" applyAlignment="1" applyFont="1">
      <alignment horizontal="left" vertical="bottom"/>
    </xf>
    <xf borderId="0" fillId="0" fontId="4" numFmtId="0" xfId="0" applyAlignment="1" applyFont="1">
      <alignment horizontal="left" shrinkToFit="0" vertical="bottom" wrapText="1"/>
    </xf>
    <xf borderId="0" fillId="0" fontId="4" numFmtId="0" xfId="0" applyAlignment="1" applyFont="1">
      <alignment horizontal="left" readingOrder="0" shrinkToFit="0" vertical="bottom" wrapText="1"/>
    </xf>
    <xf borderId="0" fillId="0" fontId="4" numFmtId="0" xfId="0" applyAlignment="1" applyFont="1">
      <alignment horizontal="left" readingOrder="0" shrinkToFit="0" vertical="bottom" wrapText="1"/>
    </xf>
    <xf borderId="0" fillId="0" fontId="4" numFmtId="0" xfId="0" applyAlignment="1" applyFont="1">
      <alignment horizontal="left" readingOrder="1" shrinkToFit="0" vertical="bottom" wrapText="1"/>
    </xf>
    <xf borderId="0" fillId="4" fontId="4" numFmtId="0" xfId="0" applyAlignment="1" applyFont="1">
      <alignment horizontal="left" shrinkToFit="0" vertical="bottom" wrapText="1"/>
    </xf>
    <xf borderId="0" fillId="4" fontId="4" numFmtId="0" xfId="0" applyAlignment="1" applyFont="1">
      <alignment horizontal="left" readingOrder="0" shrinkToFit="0" vertical="bottom" wrapText="1"/>
    </xf>
    <xf borderId="0" fillId="4" fontId="4" numFmtId="0" xfId="0" applyAlignment="1" applyFont="1">
      <alignment horizontal="left" readingOrder="0" shrinkToFit="0" vertical="bottom" wrapText="1"/>
    </xf>
    <xf borderId="0" fillId="4" fontId="4" numFmtId="0" xfId="0" applyAlignment="1" applyFont="1">
      <alignment horizontal="left" readingOrder="0" vertical="bottom"/>
    </xf>
    <xf borderId="0" fillId="4" fontId="4" numFmtId="0" xfId="0" applyAlignment="1" applyFont="1">
      <alignment horizontal="left" vertical="bottom"/>
    </xf>
    <xf borderId="0" fillId="4" fontId="4" numFmtId="166" xfId="0" applyAlignment="1" applyFont="1" applyNumberFormat="1">
      <alignment horizontal="left" vertical="bottom"/>
    </xf>
    <xf borderId="0" fillId="4" fontId="4" numFmtId="165" xfId="0" applyAlignment="1" applyFont="1" applyNumberFormat="1">
      <alignment horizontal="left" vertical="bottom"/>
    </xf>
    <xf borderId="0" fillId="4" fontId="4" numFmtId="0" xfId="0" applyAlignment="1" applyFont="1">
      <alignment horizontal="left" readingOrder="1" shrinkToFit="0" vertical="bottom" wrapText="1"/>
    </xf>
    <xf borderId="0" fillId="0" fontId="4" numFmtId="165" xfId="0" applyAlignment="1" applyFont="1" applyNumberFormat="1">
      <alignment horizontal="left" vertical="bottom"/>
    </xf>
    <xf borderId="0" fillId="0" fontId="4" numFmtId="166" xfId="0" applyAlignment="1" applyFont="1" applyNumberFormat="1">
      <alignment horizontal="left" shrinkToFit="0" vertical="bottom" wrapText="1"/>
    </xf>
    <xf borderId="0" fillId="0" fontId="4" numFmtId="0" xfId="0" applyAlignment="1" applyFont="1">
      <alignment horizontal="left" readingOrder="1" shrinkToFit="0" vertical="bottom" wrapText="1"/>
    </xf>
    <xf borderId="0" fillId="4" fontId="4" numFmtId="0" xfId="0" applyAlignment="1" applyFont="1">
      <alignment horizontal="left" readingOrder="1" shrinkToFit="0" vertical="bottom" wrapText="1"/>
    </xf>
    <xf borderId="0" fillId="4" fontId="13" numFmtId="0" xfId="0" applyAlignment="1" applyFont="1">
      <alignment vertical="bottom"/>
    </xf>
    <xf borderId="0" fillId="4" fontId="13" numFmtId="165" xfId="0" applyAlignment="1" applyFont="1" applyNumberFormat="1">
      <alignment vertical="bottom"/>
    </xf>
    <xf borderId="0" fillId="4" fontId="13" numFmtId="0" xfId="0" applyAlignment="1" applyFont="1">
      <alignment horizontal="left" readingOrder="1" shrinkToFit="0" vertical="bottom" wrapText="1"/>
    </xf>
    <xf borderId="0" fillId="12" fontId="18" numFmtId="0" xfId="0" applyAlignment="1" applyFill="1" applyFont="1">
      <alignment horizontal="left" shrinkToFit="0" vertical="bottom" wrapText="1"/>
    </xf>
    <xf borderId="0" fillId="12" fontId="4" numFmtId="0" xfId="0" applyAlignment="1" applyFont="1">
      <alignment horizontal="left" readingOrder="0" shrinkToFit="0" vertical="bottom" wrapText="1"/>
    </xf>
    <xf borderId="0" fillId="12" fontId="18" numFmtId="0" xfId="0" applyAlignment="1" applyFont="1">
      <alignment horizontal="left" readingOrder="0" shrinkToFit="0" vertical="bottom" wrapText="1"/>
    </xf>
    <xf borderId="0" fillId="0" fontId="18" numFmtId="0" xfId="0" applyAlignment="1" applyFont="1">
      <alignment horizontal="left" readingOrder="0" shrinkToFit="0" vertical="bottom" wrapText="1"/>
    </xf>
    <xf borderId="0" fillId="0" fontId="8" numFmtId="0" xfId="0" applyAlignment="1" applyFont="1">
      <alignment horizontal="left" readingOrder="1" shrinkToFit="0" wrapText="1"/>
    </xf>
    <xf borderId="0" fillId="10" fontId="4" numFmtId="0" xfId="0" applyAlignment="1" applyFont="1">
      <alignment horizontal="left" shrinkToFit="0" vertical="bottom" wrapText="1"/>
    </xf>
    <xf borderId="0" fillId="10" fontId="18" numFmtId="0" xfId="0" applyAlignment="1" applyFont="1">
      <alignment horizontal="left" shrinkToFit="0" vertical="bottom" wrapText="1"/>
    </xf>
    <xf borderId="0" fillId="10" fontId="4" numFmtId="0" xfId="0" applyAlignment="1" applyFont="1">
      <alignment horizontal="left" vertical="bottom"/>
    </xf>
    <xf borderId="0" fillId="10" fontId="4" numFmtId="165" xfId="0" applyAlignment="1" applyFont="1" applyNumberFormat="1">
      <alignment horizontal="left" vertical="bottom"/>
    </xf>
    <xf borderId="0" fillId="10" fontId="4" numFmtId="0" xfId="0" applyAlignment="1" applyFont="1">
      <alignment horizontal="left" readingOrder="1" shrinkToFit="0" vertical="bottom" wrapText="1"/>
    </xf>
    <xf borderId="0" fillId="8" fontId="9" numFmtId="0" xfId="0" applyAlignment="1" applyFont="1">
      <alignment horizontal="left" readingOrder="0" vertical="bottom"/>
    </xf>
    <xf borderId="0" fillId="0" fontId="18" numFmtId="0" xfId="0" applyAlignment="1" applyFont="1">
      <alignment horizontal="left" shrinkToFit="0" vertical="bottom" wrapText="1"/>
    </xf>
    <xf borderId="0" fillId="10" fontId="4" numFmtId="0" xfId="0" applyAlignment="1" applyFont="1">
      <alignment horizontal="left" readingOrder="0" shrinkToFit="0" vertical="bottom" wrapText="1"/>
    </xf>
    <xf borderId="0" fillId="10" fontId="4" numFmtId="0" xfId="0" applyAlignment="1" applyFont="1">
      <alignment horizontal="left" readingOrder="0" vertical="bottom"/>
    </xf>
    <xf borderId="0" fillId="10" fontId="8" numFmtId="0" xfId="0" applyAlignment="1" applyFont="1">
      <alignment readingOrder="0"/>
    </xf>
    <xf borderId="0" fillId="10" fontId="4" numFmtId="0" xfId="0" applyAlignment="1" applyFont="1">
      <alignment horizontal="left" readingOrder="1" shrinkToFit="0" vertical="bottom" wrapText="1"/>
    </xf>
    <xf borderId="0" fillId="0" fontId="7" numFmtId="0" xfId="0" applyAlignment="1" applyFont="1">
      <alignment horizontal="left" readingOrder="0" shrinkToFit="0" wrapText="1"/>
    </xf>
    <xf borderId="0" fillId="13" fontId="7" numFmtId="0" xfId="0" applyAlignment="1" applyFill="1" applyFont="1">
      <alignment horizontal="left" readingOrder="0" shrinkToFit="0" wrapText="1"/>
    </xf>
    <xf borderId="0" fillId="13" fontId="7" numFmtId="0" xfId="0" applyAlignment="1" applyFont="1">
      <alignment horizontal="left" shrinkToFit="0" wrapText="1"/>
    </xf>
    <xf borderId="0" fillId="0" fontId="8" numFmtId="0" xfId="0" applyAlignment="1" applyFont="1">
      <alignment horizontal="left" readingOrder="0" shrinkToFit="0" wrapText="1"/>
    </xf>
    <xf borderId="0" fillId="0" fontId="8" numFmtId="0" xfId="0" applyAlignment="1" applyFont="1">
      <alignment horizontal="left" readingOrder="0"/>
    </xf>
    <xf borderId="0" fillId="13" fontId="8" numFmtId="0" xfId="0" applyAlignment="1" applyFont="1">
      <alignment horizontal="left" shrinkToFit="0" wrapText="1"/>
    </xf>
    <xf borderId="0" fillId="0" fontId="8" numFmtId="166" xfId="0" applyAlignment="1" applyFont="1" applyNumberFormat="1">
      <alignment horizontal="left" readingOrder="0" shrinkToFit="0" wrapText="1"/>
    </xf>
    <xf borderId="0" fillId="0" fontId="8" numFmtId="0" xfId="0" applyAlignment="1" applyFont="1">
      <alignment horizontal="left" readingOrder="0" shrinkToFit="0" wrapText="1"/>
    </xf>
    <xf borderId="0" fillId="0" fontId="8" numFmtId="168" xfId="0" applyAlignment="1" applyFont="1" applyNumberFormat="1">
      <alignment horizontal="left" shrinkToFit="0" wrapText="1"/>
    </xf>
    <xf borderId="0" fillId="0" fontId="8" numFmtId="0" xfId="0" applyAlignment="1" applyFont="1">
      <alignment horizontal="left" shrinkToFit="0" wrapText="1"/>
    </xf>
    <xf borderId="0" fillId="0" fontId="8" numFmtId="168" xfId="0" applyAlignment="1" applyFont="1" applyNumberFormat="1">
      <alignment horizontal="left" readingOrder="0" shrinkToFit="0" wrapText="1"/>
    </xf>
    <xf borderId="0" fillId="0" fontId="8" numFmtId="0" xfId="0" applyAlignment="1" applyFont="1">
      <alignment horizontal="left" readingOrder="0" shrinkToFit="0" wrapText="1"/>
    </xf>
    <xf borderId="0" fillId="0" fontId="19" numFmtId="0" xfId="0" applyAlignment="1" applyFont="1">
      <alignment horizontal="left" readingOrder="0" shrinkToFit="0" wrapText="1"/>
    </xf>
    <xf borderId="0" fillId="0" fontId="8" numFmtId="0" xfId="0" applyAlignment="1" applyFont="1">
      <alignment horizontal="left" readingOrder="0"/>
    </xf>
    <xf borderId="0" fillId="0" fontId="8" numFmtId="0" xfId="0" applyAlignment="1" applyFont="1">
      <alignment horizontal="left" readingOrder="0"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Tech-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niel Soloway" id="{c5c13c77-02af-4f39-b019-764caea7374d}" providerId="google-sheets"/>
  <x18tc:person displayName="Ido Dvir" id="{7cd42794-6639-4e7f-bd2d-6030cf95d86d}" providerId="google-sheets"/>
  <x18tc:person displayName="dvir.ido@talmaisrael.com" id="{845adf86-f5be-4e96-97de-7640842c4f29}" userId="dvir.ido@talmaisrael.com" providerId="google-sheets"/>
</x18tc:personList>
</file>

<file path=xl/tables/table1.xml><?xml version="1.0" encoding="utf-8"?>
<table xmlns="http://schemas.openxmlformats.org/spreadsheetml/2006/main" headerRowCount="0" ref="A1:AB27"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Tech-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23T12:33:38.00" personId="{7cd42794-6639-4e7f-bd2d-6030cf95d86d}" id="{22c1ad0b-dcd3-4331-a280-232f05b722b5}" done="0">
    <x18tc:text xml:space="preserve">לשנות את זה לפי מה שכתוב בהערות</x18tc:text>
  </x18tc:threadedComment>
  <x18tc:threadedComment ref="A1" dT="2026-03-24T14:40:15.00" personId="{c5c13c77-02af-4f39-b019-764caea7374d}" id="{5b9311ad-2b64-447c-bfae-6938ecd8bc99}" parentId="{22c1ad0b-dcd3-4331-a280-232f05b722b5}">
    <x18tc:text xml:space="preserve">לא מבין, סורי 
@dvir.ido@talmaisrael.com</x18tc:text>
    <x18tc:mentions>
      <x18tc:mention mentionpersonId="{845adf86-f5be-4e96-97de-7640842c4f29}" mentionId="{485dae42-288a-4a9e-a2fb-e6220ec19803}" startIndex="15" length="2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6-03-15T08:51:26.00" personId="{c5c13c77-02af-4f39-b019-764caea7374d}" id="{1f4e831b-b49b-4ddc-a5d1-b965c5c7434d}" done="1">
    <x18tc:text xml:space="preserve">@dvir.ido@talmaisrael.com - this needs to repeat every week</x18tc:text>
    <x18tc:mentions>
      <x18tc:mention mentionpersonId="{845adf86-f5be-4e96-97de-7640842c4f29}" mentionId="{4617ed6e-e819-47b0-af69-96b2b750d9bc}" startIndex="0" length="2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monday.com/" TargetMode="External"/><Relationship Id="rId2" Type="http://schemas.openxmlformats.org/officeDocument/2006/relationships/hyperlink" Target="http://monday.com/" TargetMode="External"/><Relationship Id="rId3" Type="http://schemas.openxmlformats.org/officeDocument/2006/relationships/drawing" Target="../drawings/drawing10.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54.38"/>
    <col customWidth="1" min="2" max="2" width="30.13"/>
    <col customWidth="1" min="3" max="3" width="25.5"/>
    <col customWidth="1" min="7" max="7" width="42.88"/>
    <col customWidth="1" min="8" max="8" width="50.13"/>
    <col customWidth="1" min="9" max="9" width="44.88"/>
    <col customWidth="1" min="10" max="10" width="29.25"/>
  </cols>
  <sheetData>
    <row r="1">
      <c r="A1" s="1" t="s">
        <v>0</v>
      </c>
    </row>
    <row r="2">
      <c r="A2" s="2" t="str">
        <f t="array" ref="A2:R2">TRANSPOSE(depts)</f>
        <v>Finances</v>
      </c>
      <c r="B2" s="2" t="s">
        <v>1</v>
      </c>
      <c r="C2" s="2" t="s">
        <v>2</v>
      </c>
      <c r="D2" s="2" t="s">
        <v>3</v>
      </c>
      <c r="E2" s="2" t="s">
        <v>4</v>
      </c>
      <c r="F2" s="2" t="s">
        <v>5</v>
      </c>
      <c r="G2" s="2" t="s">
        <v>6</v>
      </c>
      <c r="H2" s="2" t="s">
        <v>7</v>
      </c>
      <c r="I2" s="2" t="s">
        <v>8</v>
      </c>
      <c r="J2" s="2" t="s">
        <v>9</v>
      </c>
      <c r="K2" s="3"/>
      <c r="L2" s="3"/>
      <c r="M2" s="3"/>
      <c r="N2" s="3"/>
      <c r="O2" s="3"/>
      <c r="P2" s="3"/>
      <c r="Q2" s="3"/>
      <c r="R2" s="3"/>
    </row>
    <row r="3">
      <c r="A3" s="4" t="s">
        <v>10</v>
      </c>
      <c r="B3" s="4" t="s">
        <v>11</v>
      </c>
      <c r="C3" s="3" t="s">
        <v>12</v>
      </c>
      <c r="G3" s="3" t="s">
        <v>13</v>
      </c>
      <c r="H3" s="3" t="s">
        <v>14</v>
      </c>
      <c r="I3" s="3" t="s">
        <v>15</v>
      </c>
      <c r="J3" s="3" t="str">
        <f t="array" ref="J3:J8">UNIQUE(Tech!B2:B1017)</f>
        <v>Evaluation and Measurement</v>
      </c>
    </row>
    <row r="4">
      <c r="A4" s="3" t="s">
        <v>16</v>
      </c>
      <c r="B4" s="4" t="s">
        <v>17</v>
      </c>
      <c r="C4" s="3" t="s">
        <v>18</v>
      </c>
      <c r="G4" s="4" t="s">
        <v>19</v>
      </c>
      <c r="H4" s="4" t="s">
        <v>20</v>
      </c>
      <c r="I4" s="3" t="s">
        <v>21</v>
      </c>
      <c r="J4" s="3" t="s">
        <v>22</v>
      </c>
    </row>
    <row r="5">
      <c r="A5" s="3" t="s">
        <v>23</v>
      </c>
      <c r="B5" s="3" t="s">
        <v>24</v>
      </c>
      <c r="C5" s="3" t="s">
        <v>25</v>
      </c>
      <c r="G5" s="3" t="s">
        <v>26</v>
      </c>
      <c r="H5" s="4" t="s">
        <v>27</v>
      </c>
      <c r="I5" s="3" t="s">
        <v>28</v>
      </c>
      <c r="J5" s="3" t="s">
        <v>29</v>
      </c>
      <c r="L5" s="3" t="str">
        <f t="array" ref="L5:L13">UNIQUE(M5:M39)</f>
        <v>Optimizing development team operations</v>
      </c>
      <c r="M5" s="4" t="s">
        <v>30</v>
      </c>
    </row>
    <row r="6">
      <c r="A6" s="3" t="s">
        <v>31</v>
      </c>
      <c r="B6" s="3" t="s">
        <v>32</v>
      </c>
      <c r="C6" s="3" t="s">
        <v>33</v>
      </c>
      <c r="G6" s="3" t="s">
        <v>34</v>
      </c>
      <c r="H6" s="3" t="s">
        <v>35</v>
      </c>
      <c r="I6" s="3" t="s">
        <v>36</v>
      </c>
      <c r="J6" s="3" t="s">
        <v>37</v>
      </c>
      <c r="L6" s="3" t="s">
        <v>38</v>
      </c>
      <c r="M6" s="4" t="s">
        <v>30</v>
      </c>
    </row>
    <row r="7">
      <c r="A7" s="3" t="s">
        <v>39</v>
      </c>
      <c r="B7" s="3" t="s">
        <v>40</v>
      </c>
      <c r="C7" s="3" t="s">
        <v>41</v>
      </c>
      <c r="G7" s="3" t="s">
        <v>42</v>
      </c>
      <c r="H7" s="4" t="s">
        <v>43</v>
      </c>
      <c r="I7" s="4" t="s">
        <v>44</v>
      </c>
      <c r="J7" s="3" t="s">
        <v>45</v>
      </c>
      <c r="L7" s="3"/>
      <c r="M7" s="4" t="s">
        <v>30</v>
      </c>
    </row>
    <row r="8">
      <c r="A8" s="4" t="s">
        <v>46</v>
      </c>
      <c r="B8" s="3" t="s">
        <v>47</v>
      </c>
      <c r="C8" s="3" t="s">
        <v>48</v>
      </c>
      <c r="G8" s="4" t="s">
        <v>49</v>
      </c>
      <c r="H8" s="4" t="s">
        <v>50</v>
      </c>
      <c r="I8" s="3" t="s">
        <v>51</v>
      </c>
      <c r="J8" s="3" t="s">
        <v>52</v>
      </c>
      <c r="L8" s="3" t="s">
        <v>53</v>
      </c>
      <c r="M8" s="5" t="s">
        <v>38</v>
      </c>
    </row>
    <row r="9">
      <c r="A9" s="4" t="s">
        <v>54</v>
      </c>
      <c r="B9" s="3" t="s">
        <v>55</v>
      </c>
      <c r="C9" s="3" t="s">
        <v>56</v>
      </c>
      <c r="H9" s="4" t="s">
        <v>57</v>
      </c>
      <c r="I9" s="3" t="s">
        <v>58</v>
      </c>
      <c r="L9" s="3" t="s">
        <v>59</v>
      </c>
    </row>
    <row r="10">
      <c r="A10" s="3" t="s">
        <v>60</v>
      </c>
      <c r="B10" s="3" t="s">
        <v>61</v>
      </c>
      <c r="C10" s="3" t="s">
        <v>62</v>
      </c>
      <c r="I10" s="3" t="s">
        <v>63</v>
      </c>
      <c r="L10" s="3" t="s">
        <v>64</v>
      </c>
      <c r="M10" s="5" t="s">
        <v>53</v>
      </c>
    </row>
    <row r="11">
      <c r="A11" s="4" t="s">
        <v>65</v>
      </c>
      <c r="B11" s="3" t="s">
        <v>66</v>
      </c>
      <c r="C11" s="4" t="s">
        <v>67</v>
      </c>
      <c r="I11" s="4" t="s">
        <v>68</v>
      </c>
      <c r="L11" s="3" t="s">
        <v>69</v>
      </c>
      <c r="M11" s="5" t="s">
        <v>53</v>
      </c>
    </row>
    <row r="12">
      <c r="A12" s="4" t="s">
        <v>70</v>
      </c>
      <c r="B12" s="3" t="s">
        <v>71</v>
      </c>
      <c r="C12" s="4" t="s">
        <v>72</v>
      </c>
      <c r="I12" s="3" t="s">
        <v>73</v>
      </c>
      <c r="L12" s="3" t="s">
        <v>35</v>
      </c>
    </row>
    <row r="13">
      <c r="A13" s="4" t="s">
        <v>74</v>
      </c>
      <c r="B13" s="4" t="s">
        <v>75</v>
      </c>
      <c r="I13" s="4" t="s">
        <v>76</v>
      </c>
      <c r="L13" s="3" t="s">
        <v>43</v>
      </c>
      <c r="M13" s="4" t="s">
        <v>59</v>
      </c>
    </row>
    <row r="14">
      <c r="B14" s="4" t="s">
        <v>77</v>
      </c>
      <c r="M14" s="4" t="s">
        <v>64</v>
      </c>
    </row>
    <row r="15">
      <c r="B15" s="4" t="s">
        <v>78</v>
      </c>
      <c r="H15" s="6"/>
      <c r="M15" s="4" t="s">
        <v>59</v>
      </c>
    </row>
    <row r="16">
      <c r="B16" s="4" t="s">
        <v>79</v>
      </c>
      <c r="H16" s="6"/>
      <c r="M16" s="4" t="s">
        <v>59</v>
      </c>
    </row>
    <row r="17">
      <c r="H17" s="6"/>
      <c r="M17" s="4" t="s">
        <v>59</v>
      </c>
    </row>
    <row r="18">
      <c r="H18" s="6"/>
      <c r="M18" s="4" t="s">
        <v>59</v>
      </c>
    </row>
    <row r="19">
      <c r="H19" s="6"/>
      <c r="M19" s="4" t="s">
        <v>59</v>
      </c>
    </row>
    <row r="20">
      <c r="A20" s="7"/>
      <c r="H20" s="8"/>
      <c r="M20" s="4" t="s">
        <v>59</v>
      </c>
    </row>
    <row r="21">
      <c r="A21" s="7"/>
      <c r="H21" s="8"/>
      <c r="M21" s="4" t="s">
        <v>59</v>
      </c>
    </row>
    <row r="22">
      <c r="A22" s="7"/>
      <c r="H22" s="8"/>
      <c r="M22" s="5" t="s">
        <v>69</v>
      </c>
    </row>
    <row r="23">
      <c r="A23" s="7"/>
      <c r="H23" s="8"/>
    </row>
    <row r="24">
      <c r="A24" s="7"/>
      <c r="H24" s="9"/>
    </row>
    <row r="25">
      <c r="A25" s="7"/>
      <c r="H25" s="8"/>
    </row>
    <row r="26">
      <c r="A26" s="7"/>
      <c r="H26" s="8"/>
      <c r="M26" s="4" t="s">
        <v>35</v>
      </c>
    </row>
    <row r="27">
      <c r="A27" s="7"/>
      <c r="H27" s="8"/>
      <c r="M27" s="4" t="s">
        <v>35</v>
      </c>
    </row>
    <row r="28">
      <c r="A28" s="7"/>
      <c r="H28" s="8"/>
      <c r="M28" s="4" t="s">
        <v>35</v>
      </c>
    </row>
    <row r="29">
      <c r="A29" s="7"/>
      <c r="H29" s="8"/>
      <c r="M29" s="4" t="s">
        <v>35</v>
      </c>
    </row>
    <row r="30">
      <c r="A30" s="7"/>
      <c r="H30" s="6"/>
      <c r="M30" s="4" t="s">
        <v>35</v>
      </c>
    </row>
    <row r="31">
      <c r="A31" s="7"/>
      <c r="H31" s="6"/>
      <c r="M31" s="4" t="s">
        <v>35</v>
      </c>
    </row>
    <row r="32">
      <c r="A32" s="7"/>
      <c r="H32" s="6"/>
      <c r="M32" s="4" t="s">
        <v>35</v>
      </c>
    </row>
    <row r="33">
      <c r="A33" s="7"/>
      <c r="H33" s="6"/>
      <c r="M33" s="4" t="s">
        <v>43</v>
      </c>
    </row>
    <row r="34">
      <c r="A34" s="7"/>
      <c r="H34" s="6"/>
      <c r="M34" s="4" t="s">
        <v>43</v>
      </c>
    </row>
    <row r="35">
      <c r="A35" s="7"/>
      <c r="H35" s="8"/>
    </row>
    <row r="36">
      <c r="A36" s="7"/>
      <c r="H36" s="8"/>
    </row>
    <row r="37">
      <c r="A37" s="7"/>
      <c r="H37" s="6"/>
    </row>
    <row r="38">
      <c r="A38" s="7"/>
      <c r="H38" s="6"/>
    </row>
    <row r="39">
      <c r="A39" s="7"/>
      <c r="H39" s="6"/>
    </row>
    <row r="40">
      <c r="A40" s="7"/>
      <c r="H40" s="6"/>
    </row>
    <row r="41">
      <c r="A41" s="7"/>
      <c r="H41" s="6"/>
    </row>
    <row r="42">
      <c r="A42" s="7"/>
      <c r="H42" s="6"/>
    </row>
    <row r="43">
      <c r="A43" s="7"/>
      <c r="B43" s="3" t="s">
        <v>59</v>
      </c>
      <c r="H43" s="6"/>
    </row>
    <row r="44">
      <c r="A44" s="7"/>
      <c r="B44" s="3" t="s">
        <v>59</v>
      </c>
      <c r="H44" s="6"/>
    </row>
    <row r="45">
      <c r="A45" s="7"/>
      <c r="B45" s="3" t="s">
        <v>59</v>
      </c>
      <c r="H45" s="6"/>
    </row>
    <row r="46">
      <c r="A46" s="7"/>
      <c r="B46" s="3" t="s">
        <v>59</v>
      </c>
      <c r="H46" s="6"/>
    </row>
    <row r="47">
      <c r="A47" s="7"/>
      <c r="B47" s="3" t="s">
        <v>59</v>
      </c>
      <c r="H47" s="6"/>
    </row>
    <row r="48">
      <c r="A48" s="7"/>
      <c r="B48" s="3" t="s">
        <v>69</v>
      </c>
      <c r="H48" s="6"/>
    </row>
    <row r="49">
      <c r="A49" s="7"/>
      <c r="H49" s="6"/>
    </row>
    <row r="50">
      <c r="A50" s="7"/>
      <c r="H50" s="6"/>
    </row>
    <row r="51">
      <c r="A51" s="7"/>
      <c r="H51" s="6"/>
    </row>
    <row r="52">
      <c r="A52" s="7"/>
      <c r="B52" s="3" t="s">
        <v>35</v>
      </c>
      <c r="H52" s="6"/>
    </row>
    <row r="53">
      <c r="A53" s="7"/>
      <c r="B53" s="3" t="s">
        <v>35</v>
      </c>
      <c r="H53" s="6"/>
    </row>
    <row r="54">
      <c r="A54" s="7"/>
      <c r="B54" s="3" t="s">
        <v>35</v>
      </c>
      <c r="H54" s="6"/>
    </row>
    <row r="55">
      <c r="A55" s="7"/>
      <c r="H55" s="6"/>
    </row>
    <row r="56">
      <c r="A56" s="7"/>
      <c r="H56" s="6"/>
    </row>
    <row r="57">
      <c r="A57" s="7"/>
      <c r="H57" s="6"/>
    </row>
    <row r="58">
      <c r="A58" s="7"/>
      <c r="H58" s="6"/>
    </row>
    <row r="59">
      <c r="A59" s="7"/>
      <c r="H59" s="6"/>
    </row>
    <row r="60">
      <c r="A60" s="7"/>
      <c r="B60" s="3" t="s">
        <v>35</v>
      </c>
      <c r="H60" s="6"/>
    </row>
    <row r="61">
      <c r="A61" s="7"/>
      <c r="B61" s="3" t="s">
        <v>35</v>
      </c>
      <c r="H61" s="6"/>
    </row>
    <row r="62">
      <c r="A62" s="7"/>
      <c r="H62" s="6"/>
    </row>
    <row r="63">
      <c r="A63" s="7"/>
      <c r="H63" s="6"/>
    </row>
    <row r="64">
      <c r="A64" s="7"/>
      <c r="B64" s="3" t="s">
        <v>35</v>
      </c>
      <c r="H64" s="6"/>
    </row>
    <row r="65">
      <c r="A65" s="7"/>
      <c r="B65" s="3" t="s">
        <v>35</v>
      </c>
      <c r="H65" s="6"/>
    </row>
    <row r="66">
      <c r="A66" s="7"/>
      <c r="B66" s="4" t="s">
        <v>43</v>
      </c>
      <c r="H66" s="6"/>
    </row>
    <row r="67">
      <c r="A67" s="7"/>
      <c r="B67" s="4" t="s">
        <v>43</v>
      </c>
      <c r="H67" s="6"/>
    </row>
    <row r="68">
      <c r="A68" s="7"/>
      <c r="H68" s="6"/>
    </row>
    <row r="69">
      <c r="A69" s="7"/>
      <c r="H69" s="6"/>
    </row>
    <row r="70">
      <c r="A70" s="7"/>
      <c r="H70" s="6"/>
    </row>
    <row r="71">
      <c r="A71" s="7"/>
      <c r="B71" s="3" t="s">
        <v>80</v>
      </c>
      <c r="H71" s="6"/>
    </row>
    <row r="72">
      <c r="A72" s="7"/>
      <c r="H72" s="6"/>
    </row>
    <row r="73">
      <c r="A73" s="7"/>
      <c r="H73" s="6"/>
    </row>
    <row r="74">
      <c r="A74" s="7"/>
      <c r="B74" s="3" t="s">
        <v>81</v>
      </c>
      <c r="H74" s="6"/>
    </row>
    <row r="75">
      <c r="A75" s="7"/>
      <c r="H75" s="6"/>
    </row>
    <row r="76">
      <c r="A76" s="7"/>
      <c r="H76" s="6"/>
    </row>
    <row r="77">
      <c r="A77" s="7"/>
      <c r="B77" s="3" t="s">
        <v>82</v>
      </c>
      <c r="H77" s="6"/>
    </row>
    <row r="78">
      <c r="A78" s="7"/>
      <c r="H78" s="6"/>
    </row>
    <row r="79">
      <c r="A79" s="7"/>
      <c r="H79" s="6"/>
    </row>
    <row r="80">
      <c r="A80" s="7"/>
      <c r="H80" s="6"/>
    </row>
    <row r="81">
      <c r="A81" s="7"/>
      <c r="H81" s="6"/>
    </row>
    <row r="82">
      <c r="A82" s="7"/>
      <c r="H82" s="6"/>
    </row>
    <row r="83">
      <c r="A83" s="7"/>
      <c r="H83" s="6"/>
    </row>
    <row r="84">
      <c r="A84" s="7"/>
      <c r="H84" s="6"/>
    </row>
    <row r="85">
      <c r="A85" s="7"/>
      <c r="H85" s="6"/>
    </row>
    <row r="86">
      <c r="A86" s="7"/>
      <c r="H86" s="6"/>
    </row>
    <row r="87">
      <c r="A87" s="7"/>
      <c r="H87" s="6"/>
    </row>
    <row r="88">
      <c r="A88" s="7"/>
      <c r="H88" s="6"/>
    </row>
    <row r="89">
      <c r="A89" s="7"/>
      <c r="H89" s="6"/>
    </row>
    <row r="90">
      <c r="A90" s="7"/>
      <c r="H90" s="6"/>
    </row>
    <row r="91">
      <c r="A91" s="7"/>
      <c r="H91" s="6"/>
    </row>
    <row r="92">
      <c r="A92" s="7"/>
      <c r="H92" s="6"/>
    </row>
    <row r="93">
      <c r="A93" s="7"/>
      <c r="H93" s="6"/>
    </row>
    <row r="94">
      <c r="A94" s="7"/>
      <c r="H94" s="6"/>
    </row>
    <row r="95">
      <c r="A95" s="7"/>
      <c r="H95" s="6"/>
    </row>
    <row r="96">
      <c r="A96" s="7"/>
      <c r="H96" s="6"/>
    </row>
    <row r="97">
      <c r="A97" s="7"/>
      <c r="H97" s="6"/>
    </row>
    <row r="98">
      <c r="A98" s="7"/>
      <c r="H98" s="6"/>
    </row>
    <row r="99">
      <c r="A99" s="7"/>
      <c r="H99" s="6"/>
    </row>
    <row r="100">
      <c r="A100" s="7"/>
      <c r="H100" s="6"/>
    </row>
    <row r="101">
      <c r="A101" s="7"/>
      <c r="H101" s="6"/>
    </row>
    <row r="102">
      <c r="A102" s="7"/>
      <c r="H102" s="6"/>
    </row>
    <row r="103">
      <c r="A103" s="7"/>
      <c r="H103" s="6"/>
    </row>
    <row r="104">
      <c r="A104" s="7"/>
      <c r="H104" s="6"/>
    </row>
    <row r="105">
      <c r="A105" s="7"/>
      <c r="H105" s="6"/>
    </row>
    <row r="106">
      <c r="A106" s="7"/>
      <c r="H106" s="6"/>
    </row>
    <row r="107">
      <c r="A107" s="7"/>
      <c r="H107" s="6"/>
    </row>
    <row r="108">
      <c r="A108" s="7"/>
      <c r="H108" s="6"/>
    </row>
    <row r="109">
      <c r="A109" s="7"/>
      <c r="H109" s="6"/>
    </row>
    <row r="110">
      <c r="A110" s="7"/>
      <c r="H110" s="6"/>
    </row>
    <row r="111">
      <c r="A111" s="7"/>
      <c r="H111" s="6"/>
    </row>
    <row r="112">
      <c r="A112" s="7"/>
      <c r="H112" s="6"/>
    </row>
    <row r="113">
      <c r="A113" s="7"/>
      <c r="H113" s="6"/>
    </row>
    <row r="114">
      <c r="A114" s="7"/>
      <c r="H114" s="6"/>
    </row>
    <row r="115">
      <c r="A115" s="7"/>
      <c r="H115" s="6"/>
    </row>
    <row r="116">
      <c r="A116" s="7"/>
      <c r="H116" s="6"/>
    </row>
    <row r="117">
      <c r="A117" s="7"/>
      <c r="H117" s="6"/>
    </row>
    <row r="118">
      <c r="A118" s="7"/>
      <c r="H118" s="6"/>
    </row>
    <row r="119">
      <c r="A119" s="7"/>
      <c r="H119" s="6"/>
    </row>
    <row r="120">
      <c r="A120" s="7"/>
      <c r="H120" s="6"/>
    </row>
    <row r="121">
      <c r="A121" s="7"/>
      <c r="H121" s="6"/>
    </row>
    <row r="122">
      <c r="A122" s="7"/>
      <c r="H122" s="6"/>
    </row>
    <row r="123">
      <c r="A123" s="7"/>
      <c r="H123" s="6"/>
    </row>
    <row r="124">
      <c r="A124" s="7"/>
      <c r="H124" s="6"/>
    </row>
    <row r="125">
      <c r="A125" s="7"/>
      <c r="H125" s="6"/>
    </row>
    <row r="126">
      <c r="A126" s="7"/>
      <c r="H126" s="6"/>
    </row>
    <row r="127">
      <c r="A127" s="7"/>
      <c r="H127" s="6"/>
    </row>
    <row r="128">
      <c r="A128" s="7"/>
      <c r="H128" s="6"/>
    </row>
    <row r="129">
      <c r="A129" s="7"/>
      <c r="H129" s="6"/>
    </row>
    <row r="130">
      <c r="A130" s="7"/>
      <c r="H130" s="6"/>
    </row>
    <row r="131">
      <c r="A131" s="7"/>
      <c r="H131" s="6"/>
    </row>
    <row r="132">
      <c r="A132" s="7"/>
      <c r="H132" s="6"/>
    </row>
    <row r="133">
      <c r="A133" s="7"/>
      <c r="H133" s="6"/>
    </row>
    <row r="134">
      <c r="A134" s="7"/>
      <c r="H134" s="6"/>
    </row>
    <row r="135">
      <c r="H135" s="6"/>
    </row>
    <row r="136">
      <c r="H136" s="6"/>
    </row>
    <row r="137">
      <c r="H137" s="6"/>
    </row>
    <row r="138">
      <c r="H138" s="6"/>
    </row>
    <row r="139">
      <c r="H139" s="6"/>
    </row>
    <row r="140">
      <c r="H140" s="6"/>
    </row>
    <row r="141">
      <c r="H141" s="6"/>
    </row>
    <row r="142">
      <c r="H142" s="6"/>
    </row>
    <row r="143">
      <c r="H143" s="6"/>
    </row>
    <row r="144">
      <c r="H144" s="6"/>
    </row>
    <row r="145">
      <c r="H145" s="6"/>
    </row>
    <row r="146">
      <c r="H146" s="6"/>
    </row>
    <row r="147">
      <c r="H147" s="6"/>
    </row>
    <row r="148">
      <c r="H148" s="6"/>
    </row>
    <row r="149">
      <c r="H149" s="6"/>
    </row>
    <row r="150">
      <c r="H150" s="6"/>
    </row>
    <row r="151">
      <c r="H151" s="6"/>
    </row>
    <row r="152">
      <c r="H152" s="6"/>
    </row>
    <row r="153">
      <c r="H153" s="6"/>
    </row>
    <row r="154">
      <c r="H154" s="6"/>
    </row>
    <row r="155">
      <c r="H155" s="6"/>
    </row>
    <row r="156">
      <c r="H156" s="6"/>
    </row>
    <row r="157">
      <c r="H157" s="6"/>
    </row>
    <row r="158">
      <c r="H158" s="6"/>
    </row>
    <row r="159">
      <c r="H159" s="6"/>
    </row>
    <row r="160">
      <c r="H160" s="6"/>
    </row>
    <row r="161">
      <c r="H161" s="6"/>
    </row>
    <row r="162">
      <c r="H162" s="6"/>
    </row>
    <row r="163">
      <c r="H163" s="6"/>
    </row>
    <row r="164">
      <c r="H164" s="6"/>
    </row>
    <row r="165">
      <c r="H165" s="6"/>
    </row>
    <row r="166">
      <c r="H166" s="6"/>
    </row>
    <row r="167">
      <c r="H167" s="6"/>
    </row>
    <row r="168">
      <c r="H168" s="6"/>
    </row>
    <row r="169">
      <c r="H169" s="6"/>
    </row>
    <row r="170">
      <c r="H170" s="6"/>
    </row>
    <row r="171">
      <c r="H171" s="6"/>
    </row>
    <row r="172">
      <c r="H172" s="6"/>
    </row>
    <row r="173">
      <c r="H173" s="6"/>
    </row>
    <row r="174">
      <c r="H174" s="6"/>
    </row>
    <row r="175">
      <c r="H175" s="6"/>
    </row>
    <row r="176">
      <c r="H176" s="6"/>
    </row>
    <row r="177">
      <c r="H177" s="6"/>
    </row>
    <row r="178">
      <c r="H178" s="6"/>
    </row>
    <row r="179">
      <c r="H179" s="6"/>
    </row>
    <row r="180">
      <c r="H180" s="6"/>
    </row>
    <row r="181">
      <c r="H181" s="6"/>
    </row>
    <row r="182">
      <c r="H182" s="6"/>
    </row>
    <row r="183">
      <c r="H183" s="6"/>
    </row>
    <row r="184">
      <c r="H184" s="6"/>
    </row>
    <row r="185">
      <c r="H185" s="6"/>
    </row>
    <row r="186">
      <c r="H186" s="6"/>
    </row>
    <row r="187">
      <c r="H187" s="6"/>
    </row>
    <row r="188">
      <c r="H188" s="6"/>
    </row>
    <row r="189">
      <c r="H189" s="6"/>
    </row>
    <row r="190">
      <c r="H190" s="6"/>
    </row>
    <row r="191">
      <c r="H191" s="6"/>
    </row>
    <row r="192">
      <c r="H192" s="6"/>
    </row>
    <row r="193">
      <c r="H193" s="6"/>
    </row>
    <row r="194">
      <c r="H194" s="6"/>
    </row>
    <row r="195">
      <c r="H195" s="6"/>
    </row>
    <row r="196">
      <c r="H196" s="6"/>
    </row>
    <row r="197">
      <c r="H197" s="6"/>
    </row>
    <row r="198">
      <c r="H198" s="6"/>
    </row>
    <row r="199">
      <c r="H199" s="6"/>
    </row>
    <row r="200">
      <c r="H200" s="6"/>
    </row>
    <row r="201">
      <c r="H201" s="6"/>
    </row>
    <row r="202">
      <c r="H202" s="6"/>
    </row>
    <row r="203">
      <c r="H203" s="6"/>
    </row>
    <row r="204">
      <c r="H204" s="6"/>
    </row>
    <row r="205">
      <c r="H205" s="6"/>
    </row>
    <row r="206">
      <c r="H206" s="6"/>
    </row>
    <row r="207">
      <c r="H207" s="6"/>
    </row>
    <row r="208">
      <c r="H208" s="6"/>
    </row>
    <row r="209">
      <c r="H209" s="6"/>
    </row>
    <row r="210">
      <c r="H210" s="6"/>
    </row>
    <row r="211">
      <c r="H211" s="6"/>
    </row>
    <row r="212">
      <c r="H212" s="6"/>
    </row>
    <row r="213">
      <c r="H213" s="6"/>
    </row>
    <row r="214">
      <c r="H214" s="6"/>
    </row>
    <row r="215">
      <c r="H215" s="6"/>
    </row>
    <row r="216">
      <c r="H216" s="6"/>
    </row>
    <row r="217">
      <c r="H217" s="6"/>
    </row>
    <row r="218">
      <c r="H218" s="6"/>
    </row>
    <row r="219">
      <c r="H219" s="6"/>
    </row>
    <row r="220">
      <c r="H220" s="6"/>
    </row>
    <row r="221">
      <c r="H221" s="6"/>
    </row>
    <row r="222">
      <c r="H222" s="6"/>
    </row>
    <row r="223">
      <c r="H223" s="6"/>
    </row>
    <row r="224">
      <c r="H224" s="6"/>
    </row>
    <row r="225">
      <c r="H225" s="6"/>
    </row>
    <row r="226">
      <c r="H226" s="6"/>
    </row>
    <row r="227">
      <c r="H227" s="6"/>
    </row>
    <row r="228">
      <c r="H228" s="6"/>
    </row>
    <row r="229">
      <c r="H229" s="6"/>
    </row>
    <row r="230">
      <c r="H230" s="6"/>
    </row>
    <row r="231">
      <c r="H231" s="6"/>
    </row>
    <row r="232">
      <c r="H232" s="6"/>
    </row>
    <row r="233">
      <c r="H233" s="6"/>
    </row>
    <row r="234">
      <c r="H234" s="6"/>
    </row>
    <row r="235">
      <c r="H235" s="6"/>
    </row>
    <row r="236">
      <c r="H236" s="6"/>
    </row>
    <row r="237">
      <c r="H237" s="6"/>
    </row>
    <row r="238">
      <c r="H238" s="6"/>
    </row>
    <row r="239">
      <c r="H239" s="6"/>
    </row>
    <row r="240">
      <c r="H240" s="6"/>
    </row>
    <row r="241">
      <c r="H241" s="6"/>
    </row>
    <row r="242">
      <c r="H242" s="6"/>
    </row>
    <row r="243">
      <c r="H243" s="6"/>
    </row>
    <row r="244">
      <c r="H244" s="6"/>
    </row>
    <row r="245">
      <c r="H245" s="6"/>
    </row>
    <row r="246">
      <c r="H246" s="6"/>
    </row>
    <row r="247">
      <c r="H247" s="6"/>
    </row>
    <row r="248">
      <c r="H248" s="6"/>
    </row>
    <row r="249">
      <c r="H249" s="6"/>
    </row>
    <row r="250">
      <c r="H250" s="6"/>
    </row>
    <row r="251">
      <c r="H251" s="6"/>
    </row>
    <row r="252">
      <c r="H252" s="6"/>
    </row>
    <row r="253">
      <c r="H253" s="6"/>
    </row>
    <row r="254">
      <c r="H254" s="6"/>
    </row>
    <row r="255">
      <c r="H255" s="6"/>
    </row>
    <row r="256">
      <c r="H256" s="6"/>
    </row>
    <row r="257">
      <c r="H257" s="6"/>
    </row>
    <row r="258">
      <c r="H258" s="6"/>
    </row>
    <row r="259">
      <c r="H259" s="6"/>
    </row>
    <row r="260">
      <c r="H260" s="6"/>
    </row>
    <row r="261">
      <c r="H261" s="6"/>
    </row>
    <row r="262">
      <c r="H262" s="6"/>
    </row>
    <row r="263">
      <c r="H263" s="6"/>
    </row>
    <row r="264">
      <c r="H264" s="6"/>
    </row>
    <row r="265">
      <c r="H265" s="6"/>
    </row>
    <row r="266">
      <c r="H266" s="6"/>
    </row>
    <row r="267">
      <c r="H267" s="6"/>
    </row>
    <row r="268">
      <c r="H268" s="6"/>
    </row>
    <row r="269">
      <c r="H269" s="6"/>
    </row>
    <row r="270">
      <c r="H270" s="6"/>
    </row>
    <row r="271">
      <c r="H271" s="6"/>
    </row>
    <row r="272">
      <c r="H272" s="6"/>
    </row>
    <row r="273">
      <c r="H273" s="6"/>
    </row>
    <row r="274">
      <c r="H274" s="6"/>
    </row>
    <row r="275">
      <c r="H275" s="6"/>
    </row>
    <row r="276">
      <c r="H276" s="6"/>
    </row>
    <row r="277">
      <c r="H277" s="6"/>
    </row>
    <row r="278">
      <c r="H278" s="6"/>
    </row>
    <row r="279">
      <c r="H279" s="6"/>
    </row>
    <row r="280">
      <c r="H280" s="6"/>
    </row>
    <row r="281">
      <c r="H281" s="6"/>
    </row>
    <row r="282">
      <c r="H282" s="6"/>
    </row>
    <row r="283">
      <c r="H283" s="6"/>
    </row>
    <row r="284">
      <c r="H284" s="6"/>
    </row>
    <row r="285">
      <c r="H285" s="6"/>
    </row>
    <row r="286">
      <c r="H286" s="6"/>
    </row>
    <row r="287">
      <c r="H287" s="6"/>
    </row>
    <row r="288">
      <c r="H288" s="6"/>
    </row>
    <row r="289">
      <c r="H289" s="6"/>
    </row>
    <row r="290">
      <c r="H290" s="6"/>
    </row>
    <row r="291">
      <c r="H291" s="6"/>
    </row>
    <row r="292">
      <c r="H292" s="6"/>
    </row>
    <row r="293">
      <c r="H293" s="6"/>
    </row>
    <row r="294">
      <c r="H294" s="6"/>
    </row>
    <row r="295">
      <c r="H295" s="6"/>
    </row>
    <row r="296">
      <c r="H296" s="6"/>
    </row>
    <row r="297">
      <c r="H297" s="6"/>
    </row>
    <row r="298">
      <c r="H298" s="6"/>
    </row>
    <row r="299">
      <c r="H299" s="6"/>
    </row>
    <row r="300">
      <c r="H300" s="6"/>
    </row>
    <row r="301">
      <c r="H301" s="6"/>
    </row>
    <row r="302">
      <c r="H302" s="6"/>
    </row>
    <row r="303">
      <c r="H303" s="6"/>
    </row>
    <row r="304">
      <c r="H304" s="6"/>
    </row>
    <row r="305">
      <c r="H305" s="6"/>
    </row>
    <row r="306">
      <c r="H306" s="6"/>
    </row>
    <row r="307">
      <c r="H307" s="6"/>
    </row>
    <row r="308">
      <c r="H308" s="6"/>
    </row>
    <row r="309">
      <c r="H309" s="6"/>
    </row>
    <row r="310">
      <c r="H310" s="6"/>
    </row>
    <row r="311">
      <c r="H311" s="6"/>
    </row>
    <row r="312">
      <c r="H312" s="6"/>
    </row>
    <row r="313">
      <c r="H313" s="6"/>
    </row>
    <row r="314">
      <c r="H314" s="6"/>
    </row>
    <row r="315">
      <c r="H315" s="6"/>
    </row>
    <row r="316">
      <c r="H316" s="6"/>
    </row>
    <row r="317">
      <c r="H317" s="6"/>
    </row>
    <row r="318">
      <c r="H318" s="6"/>
    </row>
    <row r="319">
      <c r="H319" s="6"/>
    </row>
    <row r="320">
      <c r="H320" s="6"/>
    </row>
    <row r="321">
      <c r="H321" s="6"/>
    </row>
    <row r="322">
      <c r="H322" s="6"/>
    </row>
    <row r="323">
      <c r="H323" s="6"/>
    </row>
    <row r="324">
      <c r="H324" s="6"/>
    </row>
    <row r="325">
      <c r="H325" s="6"/>
    </row>
    <row r="326">
      <c r="H326" s="6"/>
    </row>
    <row r="327">
      <c r="H327" s="6"/>
    </row>
    <row r="328">
      <c r="H328" s="6"/>
    </row>
    <row r="329">
      <c r="H329" s="6"/>
    </row>
    <row r="330">
      <c r="H330" s="6"/>
    </row>
    <row r="331">
      <c r="H331" s="6"/>
    </row>
    <row r="332">
      <c r="H332" s="6"/>
    </row>
    <row r="333">
      <c r="H333" s="6"/>
    </row>
    <row r="334">
      <c r="H334" s="6"/>
    </row>
    <row r="335">
      <c r="H335" s="6"/>
    </row>
    <row r="336">
      <c r="H336" s="6"/>
    </row>
    <row r="337">
      <c r="H337" s="6"/>
    </row>
    <row r="338">
      <c r="H338" s="6"/>
    </row>
    <row r="339">
      <c r="H339" s="6"/>
    </row>
    <row r="340">
      <c r="H340" s="6"/>
    </row>
    <row r="341">
      <c r="H341" s="6"/>
    </row>
    <row r="342">
      <c r="H342" s="6"/>
    </row>
    <row r="343">
      <c r="H343" s="6"/>
    </row>
    <row r="344">
      <c r="H344" s="6"/>
    </row>
    <row r="345">
      <c r="H345" s="6"/>
    </row>
    <row r="346">
      <c r="H346" s="6"/>
    </row>
    <row r="347">
      <c r="H347" s="6"/>
    </row>
    <row r="348">
      <c r="H348" s="6"/>
    </row>
    <row r="349">
      <c r="H349" s="6"/>
    </row>
    <row r="350">
      <c r="H350" s="6"/>
    </row>
    <row r="351">
      <c r="H351" s="6"/>
    </row>
    <row r="352">
      <c r="H352" s="6"/>
    </row>
    <row r="353">
      <c r="H353" s="6"/>
    </row>
    <row r="354">
      <c r="H354" s="6"/>
    </row>
    <row r="355">
      <c r="H355" s="6"/>
    </row>
    <row r="356">
      <c r="H356" s="6"/>
    </row>
    <row r="357">
      <c r="H357" s="6"/>
    </row>
    <row r="358">
      <c r="H358" s="6"/>
    </row>
    <row r="359">
      <c r="H359" s="6"/>
    </row>
    <row r="360">
      <c r="H360" s="6"/>
    </row>
    <row r="361">
      <c r="H361" s="6"/>
    </row>
    <row r="362">
      <c r="H362" s="6"/>
    </row>
    <row r="363">
      <c r="H363" s="6"/>
    </row>
    <row r="364">
      <c r="H364" s="6"/>
    </row>
    <row r="365">
      <c r="H365" s="6"/>
    </row>
    <row r="366">
      <c r="H366" s="6"/>
    </row>
    <row r="367">
      <c r="H367" s="6"/>
    </row>
    <row r="368">
      <c r="H368" s="6"/>
    </row>
    <row r="369">
      <c r="H369" s="6"/>
    </row>
    <row r="370">
      <c r="H370" s="6"/>
    </row>
    <row r="371">
      <c r="H371" s="6"/>
    </row>
    <row r="372">
      <c r="H372" s="6"/>
    </row>
    <row r="373">
      <c r="H373" s="6"/>
    </row>
    <row r="374">
      <c r="H374" s="6"/>
    </row>
    <row r="375">
      <c r="H375" s="6"/>
    </row>
    <row r="376">
      <c r="H376" s="6"/>
    </row>
    <row r="377">
      <c r="H377" s="6"/>
    </row>
    <row r="378">
      <c r="H378" s="6"/>
    </row>
    <row r="379">
      <c r="H379" s="6"/>
    </row>
    <row r="380">
      <c r="H380" s="6"/>
    </row>
    <row r="381">
      <c r="H381" s="6"/>
    </row>
    <row r="382">
      <c r="H382" s="6"/>
    </row>
    <row r="383">
      <c r="H383" s="6"/>
    </row>
    <row r="384">
      <c r="H384" s="6"/>
    </row>
    <row r="385">
      <c r="H385" s="6"/>
    </row>
    <row r="386">
      <c r="H386" s="6"/>
    </row>
    <row r="387">
      <c r="H387" s="6"/>
    </row>
    <row r="388">
      <c r="H388" s="6"/>
    </row>
    <row r="389">
      <c r="H389" s="6"/>
    </row>
    <row r="390">
      <c r="H390" s="6"/>
    </row>
    <row r="391">
      <c r="H391" s="6"/>
    </row>
    <row r="392">
      <c r="H392" s="6"/>
    </row>
    <row r="393">
      <c r="H393" s="6"/>
    </row>
    <row r="394">
      <c r="H394" s="6"/>
    </row>
    <row r="395">
      <c r="H395" s="6"/>
    </row>
    <row r="396">
      <c r="H396" s="6"/>
    </row>
    <row r="397">
      <c r="H397" s="6"/>
    </row>
    <row r="398">
      <c r="H398" s="6"/>
    </row>
    <row r="399">
      <c r="H399" s="6"/>
    </row>
    <row r="400">
      <c r="H400" s="6"/>
    </row>
    <row r="401">
      <c r="H401" s="6"/>
    </row>
    <row r="402">
      <c r="H402" s="6"/>
    </row>
    <row r="403">
      <c r="H403" s="6"/>
    </row>
    <row r="404">
      <c r="H404" s="6"/>
    </row>
    <row r="405">
      <c r="H405" s="6"/>
    </row>
    <row r="406">
      <c r="H406" s="6"/>
    </row>
    <row r="407">
      <c r="H407" s="6"/>
    </row>
    <row r="408">
      <c r="H408" s="6"/>
    </row>
    <row r="409">
      <c r="H409" s="6"/>
    </row>
    <row r="410">
      <c r="H410" s="6"/>
    </row>
    <row r="411">
      <c r="H411" s="6"/>
    </row>
    <row r="412">
      <c r="H412" s="6"/>
    </row>
    <row r="413">
      <c r="H413" s="6"/>
    </row>
    <row r="414">
      <c r="H414" s="6"/>
    </row>
    <row r="415">
      <c r="H415" s="6"/>
    </row>
    <row r="416">
      <c r="H416" s="6"/>
    </row>
    <row r="417">
      <c r="H417" s="6"/>
    </row>
    <row r="418">
      <c r="H418" s="6"/>
    </row>
    <row r="419">
      <c r="H419" s="6"/>
    </row>
    <row r="420">
      <c r="H420" s="6"/>
    </row>
    <row r="421">
      <c r="H421" s="6"/>
    </row>
    <row r="422">
      <c r="H422" s="6"/>
    </row>
    <row r="423">
      <c r="H423" s="6"/>
    </row>
    <row r="424">
      <c r="H424" s="6"/>
    </row>
    <row r="425">
      <c r="H425" s="6"/>
    </row>
    <row r="426">
      <c r="H426" s="6"/>
    </row>
    <row r="427">
      <c r="H427" s="6"/>
    </row>
    <row r="428">
      <c r="H428" s="6"/>
    </row>
    <row r="429">
      <c r="H429" s="6"/>
    </row>
    <row r="430">
      <c r="H430" s="6"/>
    </row>
    <row r="431">
      <c r="H431" s="6"/>
    </row>
    <row r="432">
      <c r="H432" s="6"/>
    </row>
    <row r="433">
      <c r="H433" s="6"/>
    </row>
    <row r="434">
      <c r="H434" s="6"/>
    </row>
    <row r="435">
      <c r="H435" s="6"/>
    </row>
    <row r="436">
      <c r="H436" s="6"/>
    </row>
    <row r="437">
      <c r="H437" s="6"/>
    </row>
    <row r="438">
      <c r="H438" s="6"/>
    </row>
    <row r="439">
      <c r="H439" s="6"/>
    </row>
    <row r="440">
      <c r="H440" s="6"/>
    </row>
    <row r="441">
      <c r="H441" s="6"/>
    </row>
    <row r="442">
      <c r="H442" s="6"/>
    </row>
    <row r="443">
      <c r="H443" s="6"/>
    </row>
    <row r="444">
      <c r="H444" s="6"/>
    </row>
    <row r="445">
      <c r="H445" s="6"/>
    </row>
    <row r="446">
      <c r="H446" s="6"/>
    </row>
    <row r="447">
      <c r="H447" s="6"/>
    </row>
    <row r="448">
      <c r="H448" s="6"/>
    </row>
    <row r="449">
      <c r="H449" s="6"/>
    </row>
    <row r="450">
      <c r="H450" s="6"/>
    </row>
    <row r="451">
      <c r="H451" s="6"/>
    </row>
    <row r="452">
      <c r="H452" s="6"/>
    </row>
    <row r="453">
      <c r="H453" s="6"/>
    </row>
    <row r="454">
      <c r="H454" s="6"/>
    </row>
    <row r="455">
      <c r="H455" s="6"/>
    </row>
    <row r="456">
      <c r="H456" s="6"/>
    </row>
    <row r="457">
      <c r="H457" s="6"/>
    </row>
    <row r="458">
      <c r="H458" s="6"/>
    </row>
    <row r="459">
      <c r="H459" s="6"/>
    </row>
    <row r="460">
      <c r="H460" s="6"/>
    </row>
    <row r="461">
      <c r="H461" s="6"/>
    </row>
    <row r="462">
      <c r="H462" s="6"/>
    </row>
    <row r="463">
      <c r="H463" s="6"/>
    </row>
    <row r="464">
      <c r="H464" s="6"/>
    </row>
    <row r="465">
      <c r="H465" s="6"/>
    </row>
    <row r="466">
      <c r="H466" s="6"/>
    </row>
    <row r="467">
      <c r="H467" s="6"/>
    </row>
    <row r="468">
      <c r="H468" s="6"/>
    </row>
    <row r="469">
      <c r="H469" s="6"/>
    </row>
    <row r="470">
      <c r="H470" s="6"/>
    </row>
    <row r="471">
      <c r="H471" s="6"/>
    </row>
    <row r="472">
      <c r="H472" s="6"/>
    </row>
    <row r="473">
      <c r="H473" s="6"/>
    </row>
    <row r="474">
      <c r="H474" s="6"/>
    </row>
    <row r="475">
      <c r="H475" s="6"/>
    </row>
    <row r="476">
      <c r="H476" s="6"/>
    </row>
    <row r="477">
      <c r="H477" s="6"/>
    </row>
    <row r="478">
      <c r="H478" s="6"/>
    </row>
    <row r="479">
      <c r="H479" s="6"/>
    </row>
    <row r="480">
      <c r="H480" s="6"/>
    </row>
    <row r="481">
      <c r="H481" s="6"/>
    </row>
    <row r="482">
      <c r="H482" s="6"/>
    </row>
    <row r="483">
      <c r="H483" s="6"/>
    </row>
    <row r="484">
      <c r="H484" s="6"/>
    </row>
    <row r="485">
      <c r="H485" s="6"/>
    </row>
    <row r="486">
      <c r="H486" s="6"/>
    </row>
    <row r="487">
      <c r="H487" s="6"/>
    </row>
    <row r="488">
      <c r="H488" s="6"/>
    </row>
    <row r="489">
      <c r="H489" s="6"/>
    </row>
    <row r="490">
      <c r="H490" s="6"/>
    </row>
    <row r="491">
      <c r="H491" s="6"/>
    </row>
    <row r="492">
      <c r="H492" s="6"/>
    </row>
    <row r="493">
      <c r="H493" s="6"/>
    </row>
    <row r="494">
      <c r="H494" s="6"/>
    </row>
    <row r="495">
      <c r="H495" s="6"/>
    </row>
    <row r="496">
      <c r="H496" s="6"/>
    </row>
    <row r="497">
      <c r="H497" s="6"/>
    </row>
    <row r="498">
      <c r="H498" s="6"/>
    </row>
    <row r="499">
      <c r="H499" s="6"/>
    </row>
    <row r="500">
      <c r="H500" s="6"/>
    </row>
    <row r="501">
      <c r="H501" s="6"/>
    </row>
    <row r="502">
      <c r="H502" s="6"/>
    </row>
    <row r="503">
      <c r="H503" s="6"/>
    </row>
    <row r="504">
      <c r="H504" s="6"/>
    </row>
    <row r="505">
      <c r="H505" s="6"/>
    </row>
    <row r="506">
      <c r="H506" s="6"/>
    </row>
    <row r="507">
      <c r="H507" s="6"/>
    </row>
    <row r="508">
      <c r="H508" s="6"/>
    </row>
    <row r="509">
      <c r="H509" s="6"/>
    </row>
    <row r="510">
      <c r="H510" s="6"/>
    </row>
    <row r="511">
      <c r="H511" s="6"/>
    </row>
    <row r="512">
      <c r="H512" s="6"/>
    </row>
    <row r="513">
      <c r="H513" s="6"/>
    </row>
    <row r="514">
      <c r="H514" s="6"/>
    </row>
    <row r="515">
      <c r="H515" s="6"/>
    </row>
    <row r="516">
      <c r="H516" s="6"/>
    </row>
    <row r="517">
      <c r="H517" s="6"/>
    </row>
    <row r="518">
      <c r="H518" s="6"/>
    </row>
    <row r="519">
      <c r="H519" s="6"/>
    </row>
    <row r="520">
      <c r="H520" s="6"/>
    </row>
    <row r="521">
      <c r="H521" s="6"/>
    </row>
    <row r="522">
      <c r="H522" s="6"/>
    </row>
    <row r="523">
      <c r="H523" s="6"/>
    </row>
    <row r="524">
      <c r="H524" s="6"/>
    </row>
    <row r="525">
      <c r="H525" s="6"/>
    </row>
    <row r="526">
      <c r="H526" s="6"/>
    </row>
    <row r="527">
      <c r="H527" s="6"/>
    </row>
    <row r="528">
      <c r="H528" s="6"/>
    </row>
    <row r="529">
      <c r="H529" s="6"/>
    </row>
    <row r="530">
      <c r="H530" s="6"/>
    </row>
    <row r="531">
      <c r="H531" s="6"/>
    </row>
    <row r="532">
      <c r="H532" s="6"/>
    </row>
    <row r="533">
      <c r="H533" s="6"/>
    </row>
    <row r="534">
      <c r="H534" s="6"/>
    </row>
    <row r="535">
      <c r="H535" s="6"/>
    </row>
    <row r="536">
      <c r="H536" s="6"/>
    </row>
    <row r="537">
      <c r="H537" s="6"/>
    </row>
    <row r="538">
      <c r="H538" s="6"/>
    </row>
    <row r="539">
      <c r="H539" s="6"/>
    </row>
    <row r="540">
      <c r="H540" s="6"/>
    </row>
    <row r="541">
      <c r="H541" s="6"/>
    </row>
    <row r="542">
      <c r="H542" s="6"/>
    </row>
    <row r="543">
      <c r="H543" s="6"/>
    </row>
    <row r="544">
      <c r="H544" s="6"/>
    </row>
    <row r="545">
      <c r="H545" s="6"/>
    </row>
    <row r="546">
      <c r="H546" s="6"/>
    </row>
    <row r="547">
      <c r="H547" s="6"/>
    </row>
    <row r="548">
      <c r="H548" s="6"/>
    </row>
    <row r="549">
      <c r="H549" s="6"/>
    </row>
    <row r="550">
      <c r="H550" s="6"/>
    </row>
    <row r="551">
      <c r="H551" s="6"/>
    </row>
    <row r="552">
      <c r="H552" s="6"/>
    </row>
    <row r="553">
      <c r="H553" s="6"/>
    </row>
    <row r="554">
      <c r="H554" s="6"/>
    </row>
    <row r="555">
      <c r="H555" s="6"/>
    </row>
    <row r="556">
      <c r="H556" s="6"/>
    </row>
    <row r="557">
      <c r="H557" s="6"/>
    </row>
    <row r="558">
      <c r="H558" s="6"/>
    </row>
    <row r="559">
      <c r="H559" s="6"/>
    </row>
    <row r="560">
      <c r="H560" s="6"/>
    </row>
    <row r="561">
      <c r="H561" s="6"/>
    </row>
    <row r="562">
      <c r="H562" s="6"/>
    </row>
    <row r="563">
      <c r="H563" s="6"/>
    </row>
    <row r="564">
      <c r="H564" s="6"/>
    </row>
    <row r="565">
      <c r="H565" s="6"/>
    </row>
    <row r="566">
      <c r="H566" s="6"/>
    </row>
    <row r="567">
      <c r="H567" s="6"/>
    </row>
    <row r="568">
      <c r="H568" s="6"/>
    </row>
    <row r="569">
      <c r="H569" s="6"/>
    </row>
    <row r="570">
      <c r="H570" s="6"/>
    </row>
    <row r="571">
      <c r="H571" s="6"/>
    </row>
    <row r="572">
      <c r="H572" s="6"/>
    </row>
    <row r="573">
      <c r="H573" s="6"/>
    </row>
    <row r="574">
      <c r="H574" s="6"/>
    </row>
    <row r="575">
      <c r="H575" s="6"/>
    </row>
    <row r="576">
      <c r="H576" s="6"/>
    </row>
    <row r="577">
      <c r="H577" s="6"/>
    </row>
    <row r="578">
      <c r="H578" s="6"/>
    </row>
    <row r="579">
      <c r="H579" s="6"/>
    </row>
    <row r="580">
      <c r="H580" s="6"/>
    </row>
    <row r="581">
      <c r="H581" s="6"/>
    </row>
    <row r="582">
      <c r="H582" s="6"/>
    </row>
    <row r="583">
      <c r="H583" s="6"/>
    </row>
    <row r="584">
      <c r="H584" s="6"/>
    </row>
    <row r="585">
      <c r="H585" s="6"/>
    </row>
    <row r="586">
      <c r="H586" s="6"/>
    </row>
    <row r="587">
      <c r="H587" s="6"/>
    </row>
    <row r="588">
      <c r="H588" s="6"/>
    </row>
    <row r="589">
      <c r="H589" s="6"/>
    </row>
    <row r="590">
      <c r="H590" s="6"/>
    </row>
    <row r="591">
      <c r="H591" s="6"/>
    </row>
    <row r="592">
      <c r="H592" s="6"/>
    </row>
    <row r="593">
      <c r="H593" s="6"/>
    </row>
    <row r="594">
      <c r="H594" s="6"/>
    </row>
    <row r="595">
      <c r="H595" s="6"/>
    </row>
    <row r="596">
      <c r="H596" s="6"/>
    </row>
    <row r="597">
      <c r="H597" s="6"/>
    </row>
    <row r="598">
      <c r="H598" s="6"/>
    </row>
    <row r="599">
      <c r="H599" s="6"/>
    </row>
    <row r="600">
      <c r="H600" s="6"/>
    </row>
    <row r="601">
      <c r="H601" s="6"/>
    </row>
    <row r="602">
      <c r="H602" s="6"/>
    </row>
    <row r="603">
      <c r="H603" s="6"/>
    </row>
    <row r="604">
      <c r="H604" s="6"/>
    </row>
    <row r="605">
      <c r="H605" s="6"/>
    </row>
    <row r="606">
      <c r="H606" s="6"/>
    </row>
    <row r="607">
      <c r="H607" s="6"/>
    </row>
    <row r="608">
      <c r="H608" s="6"/>
    </row>
    <row r="609">
      <c r="H609" s="6"/>
    </row>
    <row r="610">
      <c r="H610" s="6"/>
    </row>
    <row r="611">
      <c r="H611" s="6"/>
    </row>
    <row r="612">
      <c r="H612" s="6"/>
    </row>
    <row r="613">
      <c r="H613" s="6"/>
    </row>
    <row r="614">
      <c r="H614" s="6"/>
    </row>
    <row r="615">
      <c r="H615" s="6"/>
    </row>
    <row r="616">
      <c r="H616" s="6"/>
    </row>
    <row r="617">
      <c r="H617" s="6"/>
    </row>
    <row r="618">
      <c r="H618" s="6"/>
    </row>
    <row r="619">
      <c r="H619" s="6"/>
    </row>
    <row r="620">
      <c r="H620" s="6"/>
    </row>
    <row r="621">
      <c r="H621" s="6"/>
    </row>
    <row r="622">
      <c r="H622" s="6"/>
    </row>
    <row r="623">
      <c r="H623" s="6"/>
    </row>
    <row r="624">
      <c r="H624" s="6"/>
    </row>
    <row r="625">
      <c r="H625" s="6"/>
    </row>
    <row r="626">
      <c r="H626" s="6"/>
    </row>
    <row r="627">
      <c r="H627" s="6"/>
    </row>
    <row r="628">
      <c r="H628" s="6"/>
    </row>
    <row r="629">
      <c r="H629" s="6"/>
    </row>
    <row r="630">
      <c r="H630" s="6"/>
    </row>
    <row r="631">
      <c r="H631" s="6"/>
    </row>
    <row r="632">
      <c r="H632" s="6"/>
    </row>
    <row r="633">
      <c r="H633" s="6"/>
    </row>
    <row r="634">
      <c r="H634" s="6"/>
    </row>
    <row r="635">
      <c r="H635" s="6"/>
    </row>
    <row r="636">
      <c r="H636" s="6"/>
    </row>
    <row r="637">
      <c r="H637" s="6"/>
    </row>
    <row r="638">
      <c r="H638" s="6"/>
    </row>
    <row r="639">
      <c r="H639" s="6"/>
    </row>
    <row r="640">
      <c r="H640" s="6"/>
    </row>
    <row r="641">
      <c r="H641" s="6"/>
    </row>
    <row r="642">
      <c r="H642" s="6"/>
    </row>
    <row r="643">
      <c r="H643" s="6"/>
    </row>
    <row r="644">
      <c r="H644" s="6"/>
    </row>
    <row r="645">
      <c r="H645" s="6"/>
    </row>
    <row r="646">
      <c r="H646" s="6"/>
    </row>
    <row r="647">
      <c r="H647" s="6"/>
    </row>
    <row r="648">
      <c r="H648" s="6"/>
    </row>
    <row r="649">
      <c r="H649" s="6"/>
    </row>
    <row r="650">
      <c r="H650" s="6"/>
    </row>
    <row r="651">
      <c r="H651" s="6"/>
    </row>
    <row r="652">
      <c r="H652" s="6"/>
    </row>
    <row r="653">
      <c r="H653" s="6"/>
    </row>
    <row r="654">
      <c r="H654" s="6"/>
    </row>
    <row r="655">
      <c r="H655" s="6"/>
    </row>
    <row r="656">
      <c r="H656" s="6"/>
    </row>
    <row r="657">
      <c r="H657" s="6"/>
    </row>
    <row r="658">
      <c r="H658" s="6"/>
    </row>
    <row r="659">
      <c r="H659" s="6"/>
    </row>
    <row r="660">
      <c r="H660" s="6"/>
    </row>
    <row r="661">
      <c r="H661" s="6"/>
    </row>
    <row r="662">
      <c r="H662" s="6"/>
    </row>
    <row r="663">
      <c r="H663" s="6"/>
    </row>
    <row r="664">
      <c r="H664" s="6"/>
    </row>
    <row r="665">
      <c r="H665" s="6"/>
    </row>
    <row r="666">
      <c r="H666" s="6"/>
    </row>
    <row r="667">
      <c r="H667" s="6"/>
    </row>
    <row r="668">
      <c r="H668" s="6"/>
    </row>
    <row r="669">
      <c r="H669" s="6"/>
    </row>
    <row r="670">
      <c r="H670" s="6"/>
    </row>
    <row r="671">
      <c r="H671" s="6"/>
    </row>
    <row r="672">
      <c r="H672" s="6"/>
    </row>
    <row r="673">
      <c r="H673" s="6"/>
    </row>
    <row r="674">
      <c r="H674" s="6"/>
    </row>
    <row r="675">
      <c r="H675" s="6"/>
    </row>
    <row r="676">
      <c r="H676" s="6"/>
    </row>
    <row r="677">
      <c r="H677" s="6"/>
    </row>
    <row r="678">
      <c r="H678" s="6"/>
    </row>
    <row r="679">
      <c r="H679" s="6"/>
    </row>
    <row r="680">
      <c r="H680" s="6"/>
    </row>
    <row r="681">
      <c r="H681" s="6"/>
    </row>
    <row r="682">
      <c r="H682" s="6"/>
    </row>
    <row r="683">
      <c r="H683" s="6"/>
    </row>
    <row r="684">
      <c r="H684" s="6"/>
    </row>
    <row r="685">
      <c r="H685" s="6"/>
    </row>
    <row r="686">
      <c r="H686" s="6"/>
    </row>
    <row r="687">
      <c r="H687" s="6"/>
    </row>
    <row r="688">
      <c r="H688" s="6"/>
    </row>
    <row r="689">
      <c r="H689" s="6"/>
    </row>
    <row r="690">
      <c r="H690" s="6"/>
    </row>
    <row r="691">
      <c r="H691" s="6"/>
    </row>
    <row r="692">
      <c r="H692" s="6"/>
    </row>
    <row r="693">
      <c r="H693" s="6"/>
    </row>
    <row r="694">
      <c r="H694" s="6"/>
    </row>
    <row r="695">
      <c r="H695" s="6"/>
    </row>
    <row r="696">
      <c r="H696" s="6"/>
    </row>
    <row r="697">
      <c r="H697" s="6"/>
    </row>
    <row r="698">
      <c r="H698" s="6"/>
    </row>
    <row r="699">
      <c r="H699" s="6"/>
    </row>
    <row r="700">
      <c r="H700" s="6"/>
    </row>
    <row r="701">
      <c r="H701" s="6"/>
    </row>
    <row r="702">
      <c r="H702" s="6"/>
    </row>
    <row r="703">
      <c r="H703" s="6"/>
    </row>
    <row r="704">
      <c r="H704" s="6"/>
    </row>
    <row r="705">
      <c r="H705" s="6"/>
    </row>
    <row r="706">
      <c r="H706" s="6"/>
    </row>
    <row r="707">
      <c r="H707" s="6"/>
    </row>
    <row r="708">
      <c r="H708" s="6"/>
    </row>
    <row r="709">
      <c r="H709" s="6"/>
    </row>
    <row r="710">
      <c r="H710" s="6"/>
    </row>
    <row r="711">
      <c r="H711" s="6"/>
    </row>
    <row r="712">
      <c r="H712" s="6"/>
    </row>
    <row r="713">
      <c r="H713" s="6"/>
    </row>
    <row r="714">
      <c r="H714" s="6"/>
    </row>
    <row r="715">
      <c r="H715" s="6"/>
    </row>
    <row r="716">
      <c r="H716" s="6"/>
    </row>
    <row r="717">
      <c r="H717" s="6"/>
    </row>
    <row r="718">
      <c r="H718" s="6"/>
    </row>
    <row r="719">
      <c r="H719" s="6"/>
    </row>
    <row r="720">
      <c r="H720" s="6"/>
    </row>
    <row r="721">
      <c r="H721" s="6"/>
    </row>
    <row r="722">
      <c r="H722" s="6"/>
    </row>
    <row r="723">
      <c r="H723" s="6"/>
    </row>
    <row r="724">
      <c r="H724" s="6"/>
    </row>
    <row r="725">
      <c r="H725" s="6"/>
    </row>
    <row r="726">
      <c r="H726" s="6"/>
    </row>
    <row r="727">
      <c r="H727" s="6"/>
    </row>
    <row r="728">
      <c r="H728" s="6"/>
    </row>
    <row r="729">
      <c r="H729" s="6"/>
    </row>
    <row r="730">
      <c r="H730" s="6"/>
    </row>
    <row r="731">
      <c r="H731" s="6"/>
    </row>
    <row r="732">
      <c r="H732" s="6"/>
    </row>
    <row r="733">
      <c r="H733" s="6"/>
    </row>
    <row r="734">
      <c r="H734" s="6"/>
    </row>
    <row r="735">
      <c r="H735" s="6"/>
    </row>
    <row r="736">
      <c r="H736" s="6"/>
    </row>
    <row r="737">
      <c r="H737" s="6"/>
    </row>
    <row r="738">
      <c r="H738" s="6"/>
    </row>
    <row r="739">
      <c r="H739" s="6"/>
    </row>
    <row r="740">
      <c r="H740" s="6"/>
    </row>
    <row r="741">
      <c r="H741" s="6"/>
    </row>
    <row r="742">
      <c r="H742" s="6"/>
    </row>
    <row r="743">
      <c r="H743" s="6"/>
    </row>
    <row r="744">
      <c r="H744" s="6"/>
    </row>
    <row r="745">
      <c r="H745" s="6"/>
    </row>
    <row r="746">
      <c r="H746" s="6"/>
    </row>
    <row r="747">
      <c r="H747" s="6"/>
    </row>
    <row r="748">
      <c r="H748" s="6"/>
    </row>
    <row r="749">
      <c r="H749" s="6"/>
    </row>
    <row r="750">
      <c r="H750" s="6"/>
    </row>
    <row r="751">
      <c r="H751" s="6"/>
    </row>
    <row r="752">
      <c r="H752" s="6"/>
    </row>
    <row r="753">
      <c r="H753" s="6"/>
    </row>
    <row r="754">
      <c r="H754" s="6"/>
    </row>
    <row r="755">
      <c r="H755" s="6"/>
    </row>
    <row r="756">
      <c r="H756" s="6"/>
    </row>
    <row r="757">
      <c r="H757" s="6"/>
    </row>
    <row r="758">
      <c r="H758" s="6"/>
    </row>
    <row r="759">
      <c r="H759" s="6"/>
    </row>
    <row r="760">
      <c r="H760" s="6"/>
    </row>
    <row r="761">
      <c r="H761" s="6"/>
    </row>
    <row r="762">
      <c r="H762" s="6"/>
    </row>
    <row r="763">
      <c r="H763" s="6"/>
    </row>
    <row r="764">
      <c r="H764" s="6"/>
    </row>
    <row r="765">
      <c r="H765" s="6"/>
    </row>
    <row r="766">
      <c r="H766" s="6"/>
    </row>
    <row r="767">
      <c r="H767" s="6"/>
    </row>
    <row r="768">
      <c r="H768" s="6"/>
    </row>
    <row r="769">
      <c r="H769" s="6"/>
    </row>
    <row r="770">
      <c r="H770" s="6"/>
    </row>
    <row r="771">
      <c r="H771" s="6"/>
    </row>
    <row r="772">
      <c r="H772" s="6"/>
    </row>
    <row r="773">
      <c r="H773" s="6"/>
    </row>
    <row r="774">
      <c r="H774" s="6"/>
    </row>
    <row r="775">
      <c r="H775" s="6"/>
    </row>
    <row r="776">
      <c r="H776" s="6"/>
    </row>
    <row r="777">
      <c r="H777" s="6"/>
    </row>
    <row r="778">
      <c r="H778" s="6"/>
    </row>
    <row r="779">
      <c r="H779" s="6"/>
    </row>
    <row r="780">
      <c r="H780" s="6"/>
    </row>
    <row r="781">
      <c r="H781" s="6"/>
    </row>
    <row r="782">
      <c r="H782" s="6"/>
    </row>
    <row r="783">
      <c r="H783" s="6"/>
    </row>
    <row r="784">
      <c r="H784" s="6"/>
    </row>
    <row r="785">
      <c r="H785" s="6"/>
    </row>
    <row r="786">
      <c r="H786" s="6"/>
    </row>
    <row r="787">
      <c r="H787" s="6"/>
    </row>
    <row r="788">
      <c r="H788" s="6"/>
    </row>
    <row r="789">
      <c r="H789" s="6"/>
    </row>
    <row r="790">
      <c r="H790" s="6"/>
    </row>
    <row r="791">
      <c r="H791" s="6"/>
    </row>
    <row r="792">
      <c r="H792" s="6"/>
    </row>
    <row r="793">
      <c r="H793" s="6"/>
    </row>
    <row r="794">
      <c r="H794" s="6"/>
    </row>
    <row r="795">
      <c r="H795" s="6"/>
    </row>
    <row r="796">
      <c r="H796" s="6"/>
    </row>
    <row r="797">
      <c r="H797" s="6"/>
    </row>
    <row r="798">
      <c r="H798" s="6"/>
    </row>
    <row r="799">
      <c r="H799" s="6"/>
    </row>
    <row r="800">
      <c r="H800" s="6"/>
    </row>
    <row r="801">
      <c r="H801" s="6"/>
    </row>
    <row r="802">
      <c r="H802" s="6"/>
    </row>
    <row r="803">
      <c r="H803" s="6"/>
    </row>
    <row r="804">
      <c r="H804" s="6"/>
    </row>
    <row r="805">
      <c r="H805" s="6"/>
    </row>
    <row r="806">
      <c r="H806" s="6"/>
    </row>
    <row r="807">
      <c r="H807" s="6"/>
    </row>
    <row r="808">
      <c r="H808" s="6"/>
    </row>
    <row r="809">
      <c r="H809" s="6"/>
    </row>
    <row r="810">
      <c r="H810" s="6"/>
    </row>
    <row r="811">
      <c r="H811" s="6"/>
    </row>
    <row r="812">
      <c r="H812" s="6"/>
    </row>
    <row r="813">
      <c r="H813" s="6"/>
    </row>
    <row r="814">
      <c r="H814" s="6"/>
    </row>
    <row r="815">
      <c r="H815" s="6"/>
    </row>
    <row r="816">
      <c r="H816" s="6"/>
    </row>
    <row r="817">
      <c r="H817" s="6"/>
    </row>
    <row r="818">
      <c r="H818" s="6"/>
    </row>
    <row r="819">
      <c r="H819" s="6"/>
    </row>
    <row r="820">
      <c r="H820" s="6"/>
    </row>
    <row r="821">
      <c r="H821" s="6"/>
    </row>
    <row r="822">
      <c r="H822" s="6"/>
    </row>
    <row r="823">
      <c r="H823" s="6"/>
    </row>
    <row r="824">
      <c r="H824" s="6"/>
    </row>
    <row r="825">
      <c r="H825" s="6"/>
    </row>
    <row r="826">
      <c r="H826" s="6"/>
    </row>
    <row r="827">
      <c r="H827" s="6"/>
    </row>
    <row r="828">
      <c r="H828" s="6"/>
    </row>
    <row r="829">
      <c r="H829" s="6"/>
    </row>
    <row r="830">
      <c r="H830" s="6"/>
    </row>
    <row r="831">
      <c r="H831" s="6"/>
    </row>
    <row r="832">
      <c r="H832" s="6"/>
    </row>
    <row r="833">
      <c r="H833" s="6"/>
    </row>
    <row r="834">
      <c r="H834" s="6"/>
    </row>
    <row r="835">
      <c r="H835" s="6"/>
    </row>
    <row r="836">
      <c r="H836" s="6"/>
    </row>
    <row r="837">
      <c r="H837" s="6"/>
    </row>
    <row r="838">
      <c r="H838" s="6"/>
    </row>
    <row r="839">
      <c r="H839" s="6"/>
    </row>
    <row r="840">
      <c r="H840" s="6"/>
    </row>
    <row r="841">
      <c r="H841" s="6"/>
    </row>
    <row r="842">
      <c r="H842" s="6"/>
    </row>
    <row r="843">
      <c r="H843" s="6"/>
    </row>
    <row r="844">
      <c r="H844" s="6"/>
    </row>
    <row r="845">
      <c r="H845" s="6"/>
    </row>
    <row r="846">
      <c r="H846" s="6"/>
    </row>
    <row r="847">
      <c r="H847" s="6"/>
    </row>
    <row r="848">
      <c r="H848" s="6"/>
    </row>
    <row r="849">
      <c r="H849" s="6"/>
    </row>
    <row r="850">
      <c r="H850" s="6"/>
    </row>
    <row r="851">
      <c r="H851" s="6"/>
    </row>
    <row r="852">
      <c r="H852" s="6"/>
    </row>
    <row r="853">
      <c r="H853" s="6"/>
    </row>
    <row r="854">
      <c r="H854" s="6"/>
    </row>
    <row r="855">
      <c r="H855" s="6"/>
    </row>
    <row r="856">
      <c r="H856" s="6"/>
    </row>
    <row r="857">
      <c r="H857" s="6"/>
    </row>
    <row r="858">
      <c r="H858" s="6"/>
    </row>
    <row r="859">
      <c r="H859" s="6"/>
    </row>
    <row r="860">
      <c r="H860" s="6"/>
    </row>
    <row r="861">
      <c r="H861" s="6"/>
    </row>
    <row r="862">
      <c r="H862" s="6"/>
    </row>
    <row r="863">
      <c r="H863" s="6"/>
    </row>
    <row r="864">
      <c r="H864" s="6"/>
    </row>
    <row r="865">
      <c r="H865" s="6"/>
    </row>
    <row r="866">
      <c r="H866" s="6"/>
    </row>
    <row r="867">
      <c r="H867" s="6"/>
    </row>
    <row r="868">
      <c r="H868" s="6"/>
    </row>
    <row r="869">
      <c r="H869" s="6"/>
    </row>
    <row r="870">
      <c r="H870" s="6"/>
    </row>
    <row r="871">
      <c r="H871" s="6"/>
    </row>
    <row r="872">
      <c r="H872" s="6"/>
    </row>
    <row r="873">
      <c r="H873" s="6"/>
    </row>
    <row r="874">
      <c r="H874" s="6"/>
    </row>
    <row r="875">
      <c r="H875" s="6"/>
    </row>
    <row r="876">
      <c r="H876" s="6"/>
    </row>
    <row r="877">
      <c r="H877" s="6"/>
    </row>
    <row r="878">
      <c r="H878" s="6"/>
    </row>
    <row r="879">
      <c r="H879" s="6"/>
    </row>
    <row r="880">
      <c r="H880" s="6"/>
    </row>
    <row r="881">
      <c r="H881" s="6"/>
    </row>
    <row r="882">
      <c r="H882" s="6"/>
    </row>
    <row r="883">
      <c r="H883" s="6"/>
    </row>
    <row r="884">
      <c r="H884" s="6"/>
    </row>
    <row r="885">
      <c r="H885" s="6"/>
    </row>
    <row r="886">
      <c r="H886" s="6"/>
    </row>
    <row r="887">
      <c r="H887" s="6"/>
    </row>
    <row r="888">
      <c r="H888" s="6"/>
    </row>
    <row r="889">
      <c r="H889" s="6"/>
    </row>
    <row r="890">
      <c r="H890" s="6"/>
    </row>
    <row r="891">
      <c r="H891" s="6"/>
    </row>
    <row r="892">
      <c r="H892" s="6"/>
    </row>
    <row r="893">
      <c r="H893" s="6"/>
    </row>
    <row r="894">
      <c r="H894" s="6"/>
    </row>
    <row r="895">
      <c r="H895" s="6"/>
    </row>
    <row r="896">
      <c r="H896" s="6"/>
    </row>
    <row r="897">
      <c r="H897" s="6"/>
    </row>
    <row r="898">
      <c r="H898" s="6"/>
    </row>
    <row r="899">
      <c r="H899" s="6"/>
    </row>
    <row r="900">
      <c r="H900" s="6"/>
    </row>
    <row r="901">
      <c r="H901" s="6"/>
    </row>
    <row r="902">
      <c r="H902" s="6"/>
    </row>
    <row r="903">
      <c r="H903" s="6"/>
    </row>
    <row r="904">
      <c r="H904" s="6"/>
    </row>
    <row r="905">
      <c r="H905" s="6"/>
    </row>
    <row r="906">
      <c r="H906" s="6"/>
    </row>
    <row r="907">
      <c r="H907" s="6"/>
    </row>
    <row r="908">
      <c r="H908" s="6"/>
    </row>
    <row r="909">
      <c r="H909" s="6"/>
    </row>
    <row r="910">
      <c r="H910" s="6"/>
    </row>
    <row r="911">
      <c r="H911" s="6"/>
    </row>
    <row r="912">
      <c r="H912" s="6"/>
    </row>
    <row r="913">
      <c r="H913" s="6"/>
    </row>
    <row r="914">
      <c r="H914" s="6"/>
    </row>
    <row r="915">
      <c r="H915" s="6"/>
    </row>
    <row r="916">
      <c r="H916" s="6"/>
    </row>
    <row r="917">
      <c r="H917" s="6"/>
    </row>
    <row r="918">
      <c r="H918" s="6"/>
    </row>
    <row r="919">
      <c r="H919" s="6"/>
    </row>
    <row r="920">
      <c r="H920" s="6"/>
    </row>
    <row r="921">
      <c r="H921" s="6"/>
    </row>
    <row r="922">
      <c r="H922" s="6"/>
    </row>
    <row r="923">
      <c r="H923" s="6"/>
    </row>
    <row r="924">
      <c r="H924" s="6"/>
    </row>
    <row r="925">
      <c r="H925" s="6"/>
    </row>
    <row r="926">
      <c r="H926" s="6"/>
    </row>
    <row r="927">
      <c r="H927" s="6"/>
    </row>
    <row r="928">
      <c r="H928" s="6"/>
    </row>
    <row r="929">
      <c r="H929" s="6"/>
    </row>
    <row r="930">
      <c r="H930" s="6"/>
    </row>
    <row r="931">
      <c r="H931" s="6"/>
    </row>
    <row r="932">
      <c r="H932" s="6"/>
    </row>
    <row r="933">
      <c r="H933" s="6"/>
    </row>
    <row r="934">
      <c r="H934" s="6"/>
    </row>
    <row r="935">
      <c r="H935" s="6"/>
    </row>
    <row r="936">
      <c r="H936" s="6"/>
    </row>
    <row r="937">
      <c r="H937" s="6"/>
    </row>
    <row r="938">
      <c r="H938" s="6"/>
    </row>
    <row r="939">
      <c r="H939" s="6"/>
    </row>
    <row r="940">
      <c r="H940" s="6"/>
    </row>
    <row r="941">
      <c r="H941" s="6"/>
    </row>
    <row r="942">
      <c r="H942" s="6"/>
    </row>
    <row r="943">
      <c r="H943" s="6"/>
    </row>
    <row r="944">
      <c r="H944" s="6"/>
    </row>
    <row r="945">
      <c r="H945" s="6"/>
    </row>
    <row r="946">
      <c r="H946" s="6"/>
    </row>
    <row r="947">
      <c r="H947" s="6"/>
    </row>
    <row r="948">
      <c r="H948" s="6"/>
    </row>
    <row r="949">
      <c r="H949" s="6"/>
    </row>
    <row r="950">
      <c r="H950" s="6"/>
    </row>
    <row r="951">
      <c r="H951" s="6"/>
    </row>
    <row r="952">
      <c r="H952" s="6"/>
    </row>
    <row r="953">
      <c r="H953" s="6"/>
    </row>
    <row r="954">
      <c r="H954" s="6"/>
    </row>
    <row r="955">
      <c r="H955" s="6"/>
    </row>
    <row r="956">
      <c r="H956" s="6"/>
    </row>
    <row r="957">
      <c r="H957" s="6"/>
    </row>
    <row r="958">
      <c r="H958" s="6"/>
    </row>
    <row r="959">
      <c r="H959" s="6"/>
    </row>
    <row r="960">
      <c r="H960" s="6"/>
    </row>
    <row r="961">
      <c r="H961" s="6"/>
    </row>
    <row r="962">
      <c r="H962" s="6"/>
    </row>
    <row r="963">
      <c r="H963" s="6"/>
    </row>
    <row r="964">
      <c r="H964" s="6"/>
    </row>
    <row r="965">
      <c r="H965" s="6"/>
    </row>
    <row r="966">
      <c r="H966" s="6"/>
    </row>
    <row r="967">
      <c r="H967" s="6"/>
    </row>
    <row r="968">
      <c r="H968" s="6"/>
    </row>
    <row r="969">
      <c r="H969" s="6"/>
    </row>
    <row r="970">
      <c r="H970" s="6"/>
    </row>
    <row r="971">
      <c r="H971" s="6"/>
    </row>
    <row r="972">
      <c r="H972" s="6"/>
    </row>
    <row r="973">
      <c r="H973" s="6"/>
    </row>
    <row r="974">
      <c r="H974" s="6"/>
    </row>
    <row r="975">
      <c r="H975" s="6"/>
    </row>
    <row r="976">
      <c r="H976" s="6"/>
    </row>
    <row r="977">
      <c r="H977" s="6"/>
    </row>
    <row r="978">
      <c r="H978" s="6"/>
    </row>
    <row r="979">
      <c r="H979" s="6"/>
    </row>
    <row r="980">
      <c r="H980" s="6"/>
    </row>
    <row r="981">
      <c r="H981" s="6"/>
    </row>
    <row r="982">
      <c r="H982" s="6"/>
    </row>
    <row r="983">
      <c r="H983" s="6"/>
    </row>
    <row r="984">
      <c r="H984" s="6"/>
    </row>
    <row r="985">
      <c r="H985" s="6"/>
    </row>
    <row r="986">
      <c r="H986" s="6"/>
    </row>
    <row r="987">
      <c r="H987" s="6"/>
    </row>
    <row r="988">
      <c r="H988" s="6"/>
    </row>
    <row r="989">
      <c r="H989" s="6"/>
    </row>
    <row r="990">
      <c r="H990" s="6"/>
    </row>
    <row r="991">
      <c r="H991" s="6"/>
    </row>
    <row r="992">
      <c r="H992" s="6"/>
    </row>
    <row r="993">
      <c r="H993" s="6"/>
    </row>
    <row r="994">
      <c r="H994" s="6"/>
    </row>
    <row r="995">
      <c r="H995" s="6"/>
    </row>
    <row r="996">
      <c r="H996" s="6"/>
    </row>
    <row r="997">
      <c r="H997" s="6"/>
    </row>
    <row r="998">
      <c r="H998" s="6"/>
    </row>
    <row r="999">
      <c r="H999" s="6"/>
    </row>
    <row r="1000">
      <c r="H1000" s="6"/>
    </row>
    <row r="1001">
      <c r="H1001" s="6"/>
    </row>
    <row r="1002">
      <c r="H1002" s="6"/>
    </row>
    <row r="1003">
      <c r="H1003" s="6"/>
    </row>
    <row r="1004">
      <c r="H1004" s="6"/>
    </row>
    <row r="1005">
      <c r="H1005" s="6"/>
    </row>
    <row r="1006">
      <c r="H1006" s="6"/>
    </row>
    <row r="1007">
      <c r="H1007" s="6"/>
    </row>
    <row r="1008">
      <c r="H1008" s="6"/>
    </row>
    <row r="1009">
      <c r="H1009" s="6"/>
    </row>
    <row r="1010">
      <c r="H1010" s="6"/>
    </row>
    <row r="1011">
      <c r="H1011" s="6"/>
    </row>
    <row r="1012">
      <c r="H1012" s="6"/>
    </row>
    <row r="1013">
      <c r="H1013" s="6"/>
    </row>
    <row r="1014">
      <c r="H1014" s="6"/>
    </row>
    <row r="1015">
      <c r="H1015" s="6"/>
    </row>
    <row r="1016">
      <c r="H1016" s="6"/>
    </row>
    <row r="1017">
      <c r="H1017" s="6"/>
    </row>
  </sheetData>
  <mergeCells count="1">
    <mergeCell ref="A1:K1"/>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1.88"/>
    <col customWidth="1" min="2" max="2" width="23.0"/>
    <col customWidth="1" min="3" max="3" width="15.13"/>
    <col customWidth="1" min="4" max="4" width="25.75"/>
    <col customWidth="1" min="5" max="5" width="27.63"/>
    <col customWidth="1" min="6" max="6" width="21.13"/>
    <col customWidth="1" min="7" max="7" width="15.13"/>
    <col customWidth="1" min="8" max="8" width="44.0"/>
    <col customWidth="1" min="9" max="9" width="74.38"/>
    <col customWidth="1" min="10" max="10" width="29.13"/>
    <col customWidth="1" min="11" max="11" width="29.88"/>
  </cols>
  <sheetData>
    <row r="1">
      <c r="A1" s="10" t="s">
        <v>83</v>
      </c>
      <c r="B1" s="10"/>
      <c r="C1" s="10"/>
      <c r="D1" s="10"/>
      <c r="E1" s="10"/>
      <c r="F1" s="10"/>
      <c r="G1" s="10"/>
      <c r="H1" s="10"/>
      <c r="I1" s="10"/>
      <c r="J1" s="10"/>
      <c r="K1" s="10"/>
    </row>
    <row r="2">
      <c r="A2" s="11" t="s">
        <v>84</v>
      </c>
      <c r="B2" s="12" t="str">
        <f t="array" ref="B2:S2">TRANSPOSE(depts)</f>
        <v>Finances</v>
      </c>
      <c r="C2" s="12" t="s">
        <v>1</v>
      </c>
      <c r="D2" s="12" t="s">
        <v>2</v>
      </c>
      <c r="E2" s="12" t="s">
        <v>3</v>
      </c>
      <c r="F2" s="12" t="s">
        <v>4</v>
      </c>
      <c r="G2" s="12" t="s">
        <v>5</v>
      </c>
      <c r="H2" s="12" t="s">
        <v>6</v>
      </c>
      <c r="I2" s="12" t="s">
        <v>7</v>
      </c>
      <c r="J2" s="12" t="s">
        <v>8</v>
      </c>
      <c r="K2" s="12" t="s">
        <v>9</v>
      </c>
    </row>
    <row r="3">
      <c r="A3" s="3" t="str">
        <f t="array" ref="A3:A97">SORT(UNIQUE(TOCOL(B3:L116,1)))</f>
        <v>Additional Report</v>
      </c>
      <c r="B3" s="4" t="s">
        <v>85</v>
      </c>
      <c r="C3" s="4" t="s">
        <v>86</v>
      </c>
      <c r="D3" s="4" t="s">
        <v>87</v>
      </c>
      <c r="E3" s="4" t="s">
        <v>88</v>
      </c>
      <c r="F3" s="4" t="s">
        <v>89</v>
      </c>
      <c r="H3" s="4" t="s">
        <v>1</v>
      </c>
      <c r="I3" s="4" t="s">
        <v>90</v>
      </c>
      <c r="J3" s="3" t="s">
        <v>91</v>
      </c>
      <c r="K3" s="4" t="s">
        <v>92</v>
      </c>
    </row>
    <row r="4">
      <c r="A4" s="3" t="s">
        <v>93</v>
      </c>
      <c r="B4" s="4" t="s">
        <v>87</v>
      </c>
      <c r="C4" s="4" t="s">
        <v>94</v>
      </c>
      <c r="D4" s="4" t="s">
        <v>95</v>
      </c>
      <c r="F4" s="4" t="s">
        <v>96</v>
      </c>
      <c r="H4" s="4" t="s">
        <v>97</v>
      </c>
      <c r="I4" s="4" t="s">
        <v>98</v>
      </c>
      <c r="J4" s="3" t="s">
        <v>21</v>
      </c>
      <c r="K4" s="3" t="s">
        <v>99</v>
      </c>
    </row>
    <row r="5">
      <c r="A5" s="3" t="s">
        <v>91</v>
      </c>
      <c r="B5" s="4" t="s">
        <v>100</v>
      </c>
      <c r="C5" s="4" t="s">
        <v>101</v>
      </c>
      <c r="D5" s="4" t="s">
        <v>41</v>
      </c>
      <c r="H5" s="4" t="s">
        <v>32</v>
      </c>
      <c r="I5" s="4" t="s">
        <v>102</v>
      </c>
      <c r="J5" s="3" t="s">
        <v>28</v>
      </c>
      <c r="K5" s="3" t="s">
        <v>41</v>
      </c>
    </row>
    <row r="6">
      <c r="A6" s="3" t="s">
        <v>103</v>
      </c>
      <c r="B6" s="4" t="s">
        <v>104</v>
      </c>
      <c r="C6" s="4" t="s">
        <v>105</v>
      </c>
      <c r="D6" s="4" t="s">
        <v>106</v>
      </c>
      <c r="H6" s="4" t="s">
        <v>107</v>
      </c>
      <c r="I6" s="4" t="s">
        <v>108</v>
      </c>
      <c r="J6" s="3" t="s">
        <v>12</v>
      </c>
      <c r="K6" s="4" t="s">
        <v>109</v>
      </c>
    </row>
    <row r="7">
      <c r="A7" s="3" t="s">
        <v>110</v>
      </c>
      <c r="B7" s="4" t="s">
        <v>111</v>
      </c>
      <c r="C7" s="4" t="s">
        <v>112</v>
      </c>
      <c r="D7" s="4" t="s">
        <v>113</v>
      </c>
      <c r="H7" s="4" t="s">
        <v>114</v>
      </c>
      <c r="I7" s="4" t="s">
        <v>115</v>
      </c>
      <c r="J7" s="3" t="s">
        <v>116</v>
      </c>
      <c r="K7" s="3" t="s">
        <v>117</v>
      </c>
    </row>
    <row r="8">
      <c r="A8" s="3" t="s">
        <v>118</v>
      </c>
      <c r="B8" s="4" t="s">
        <v>119</v>
      </c>
      <c r="C8" s="4" t="s">
        <v>120</v>
      </c>
      <c r="D8" s="4" t="s">
        <v>121</v>
      </c>
      <c r="H8" s="4" t="s">
        <v>122</v>
      </c>
      <c r="I8" s="4" t="s">
        <v>123</v>
      </c>
      <c r="J8" s="3" t="s">
        <v>124</v>
      </c>
      <c r="K8" s="3" t="s">
        <v>125</v>
      </c>
    </row>
    <row r="9">
      <c r="A9" s="3" t="s">
        <v>126</v>
      </c>
      <c r="B9" s="4" t="s">
        <v>127</v>
      </c>
      <c r="C9" s="4" t="s">
        <v>128</v>
      </c>
      <c r="D9" s="4" t="s">
        <v>129</v>
      </c>
      <c r="H9" s="4" t="s">
        <v>130</v>
      </c>
      <c r="I9" s="4" t="s">
        <v>131</v>
      </c>
      <c r="J9" s="3" t="s">
        <v>132</v>
      </c>
      <c r="K9" s="3" t="s">
        <v>122</v>
      </c>
    </row>
    <row r="10">
      <c r="A10" s="3" t="s">
        <v>92</v>
      </c>
      <c r="B10" s="4" t="s">
        <v>133</v>
      </c>
      <c r="C10" s="4" t="s">
        <v>40</v>
      </c>
      <c r="D10" s="4" t="s">
        <v>25</v>
      </c>
      <c r="H10" s="4" t="s">
        <v>134</v>
      </c>
      <c r="I10" s="4" t="s">
        <v>135</v>
      </c>
      <c r="J10" s="3" t="s">
        <v>107</v>
      </c>
      <c r="K10" s="3" t="s">
        <v>136</v>
      </c>
    </row>
    <row r="11">
      <c r="A11" s="3" t="s">
        <v>137</v>
      </c>
      <c r="B11" s="4" t="s">
        <v>138</v>
      </c>
      <c r="D11" s="4" t="s">
        <v>48</v>
      </c>
      <c r="H11" s="4" t="s">
        <v>139</v>
      </c>
      <c r="I11" s="4" t="s">
        <v>50</v>
      </c>
      <c r="J11" s="3" t="s">
        <v>1</v>
      </c>
      <c r="K11" s="3" t="s">
        <v>140</v>
      </c>
    </row>
    <row r="12">
      <c r="A12" s="3" t="s">
        <v>127</v>
      </c>
      <c r="B12" s="4" t="s">
        <v>141</v>
      </c>
      <c r="H12" s="4" t="s">
        <v>142</v>
      </c>
      <c r="I12" s="4" t="s">
        <v>57</v>
      </c>
      <c r="J12" s="4" t="s">
        <v>107</v>
      </c>
      <c r="K12" s="4" t="s">
        <v>143</v>
      </c>
    </row>
    <row r="13">
      <c r="A13" s="3" t="s">
        <v>115</v>
      </c>
      <c r="B13" s="4" t="s">
        <v>144</v>
      </c>
      <c r="H13" s="4" t="s">
        <v>145</v>
      </c>
      <c r="I13" s="4" t="s">
        <v>146</v>
      </c>
      <c r="J13" s="3" t="s">
        <v>147</v>
      </c>
      <c r="K13" s="4" t="s">
        <v>148</v>
      </c>
    </row>
    <row r="14">
      <c r="A14" s="3" t="s">
        <v>41</v>
      </c>
      <c r="B14" s="4" t="s">
        <v>149</v>
      </c>
      <c r="H14" s="4" t="s">
        <v>150</v>
      </c>
      <c r="I14" s="4" t="s">
        <v>151</v>
      </c>
      <c r="J14" s="4" t="s">
        <v>152</v>
      </c>
    </row>
    <row r="15">
      <c r="A15" s="3" t="s">
        <v>147</v>
      </c>
      <c r="B15" s="4" t="s">
        <v>153</v>
      </c>
      <c r="H15" s="4" t="s">
        <v>118</v>
      </c>
      <c r="J15" s="4" t="s">
        <v>154</v>
      </c>
    </row>
    <row r="16">
      <c r="A16" s="3" t="s">
        <v>116</v>
      </c>
      <c r="B16" s="4" t="s">
        <v>155</v>
      </c>
      <c r="H16" s="4" t="s">
        <v>126</v>
      </c>
      <c r="J16" s="4" t="s">
        <v>44</v>
      </c>
    </row>
    <row r="17">
      <c r="A17" s="3" t="s">
        <v>156</v>
      </c>
      <c r="B17" s="4" t="s">
        <v>103</v>
      </c>
      <c r="H17" s="4" t="s">
        <v>110</v>
      </c>
      <c r="J17" s="4" t="s">
        <v>157</v>
      </c>
    </row>
    <row r="18">
      <c r="A18" s="3" t="s">
        <v>158</v>
      </c>
      <c r="B18" s="4" t="s">
        <v>159</v>
      </c>
      <c r="H18" s="4" t="s">
        <v>152</v>
      </c>
      <c r="J18" s="4" t="s">
        <v>85</v>
      </c>
    </row>
    <row r="19">
      <c r="A19" s="3" t="s">
        <v>129</v>
      </c>
      <c r="B19" s="4" t="s">
        <v>160</v>
      </c>
      <c r="H19" s="4" t="s">
        <v>161</v>
      </c>
      <c r="J19" s="4" t="s">
        <v>156</v>
      </c>
    </row>
    <row r="20">
      <c r="A20" s="3" t="s">
        <v>152</v>
      </c>
      <c r="H20" s="4" t="s">
        <v>162</v>
      </c>
      <c r="J20" s="4" t="s">
        <v>158</v>
      </c>
    </row>
    <row r="21">
      <c r="A21" s="3" t="s">
        <v>21</v>
      </c>
      <c r="H21" s="4" t="s">
        <v>163</v>
      </c>
    </row>
    <row r="22">
      <c r="A22" s="3" t="s">
        <v>150</v>
      </c>
      <c r="H22" s="4" t="s">
        <v>137</v>
      </c>
    </row>
    <row r="23">
      <c r="A23" s="3" t="s">
        <v>99</v>
      </c>
      <c r="H23" s="4" t="s">
        <v>164</v>
      </c>
    </row>
    <row r="24">
      <c r="A24" s="3" t="s">
        <v>142</v>
      </c>
      <c r="H24" s="4" t="s">
        <v>165</v>
      </c>
    </row>
    <row r="25">
      <c r="A25" s="3" t="s">
        <v>50</v>
      </c>
      <c r="H25" s="4" t="s">
        <v>166</v>
      </c>
    </row>
    <row r="26">
      <c r="A26" s="3" t="s">
        <v>151</v>
      </c>
      <c r="H26" s="4" t="s">
        <v>167</v>
      </c>
    </row>
    <row r="27">
      <c r="A27" s="3" t="s">
        <v>167</v>
      </c>
      <c r="H27" s="4" t="s">
        <v>93</v>
      </c>
    </row>
    <row r="28">
      <c r="A28" s="3" t="s">
        <v>165</v>
      </c>
      <c r="H28" s="4" t="s">
        <v>134</v>
      </c>
    </row>
    <row r="29">
      <c r="A29" s="3" t="s">
        <v>164</v>
      </c>
    </row>
    <row r="30">
      <c r="A30" s="3" t="s">
        <v>166</v>
      </c>
    </row>
    <row r="31">
      <c r="A31" s="3" t="s">
        <v>40</v>
      </c>
    </row>
    <row r="32">
      <c r="A32" s="3" t="s">
        <v>94</v>
      </c>
    </row>
    <row r="33">
      <c r="A33" s="3" t="s">
        <v>121</v>
      </c>
    </row>
    <row r="34">
      <c r="A34" s="3" t="s">
        <v>102</v>
      </c>
    </row>
    <row r="35">
      <c r="A35" s="3" t="s">
        <v>1</v>
      </c>
    </row>
    <row r="36">
      <c r="A36" s="3" t="s">
        <v>101</v>
      </c>
    </row>
    <row r="37">
      <c r="A37" s="3" t="s">
        <v>86</v>
      </c>
    </row>
    <row r="38">
      <c r="A38" s="3" t="s">
        <v>111</v>
      </c>
    </row>
    <row r="39">
      <c r="A39" s="3" t="s">
        <v>108</v>
      </c>
    </row>
    <row r="40">
      <c r="A40" s="3" t="s">
        <v>117</v>
      </c>
    </row>
    <row r="41">
      <c r="A41" s="3" t="s">
        <v>98</v>
      </c>
    </row>
    <row r="42">
      <c r="A42" s="3" t="s">
        <v>85</v>
      </c>
    </row>
    <row r="43">
      <c r="A43" s="3" t="s">
        <v>112</v>
      </c>
    </row>
    <row r="44">
      <c r="A44" s="3" t="s">
        <v>28</v>
      </c>
    </row>
    <row r="45">
      <c r="A45" s="3" t="s">
        <v>88</v>
      </c>
    </row>
    <row r="46">
      <c r="A46" s="3" t="s">
        <v>133</v>
      </c>
    </row>
    <row r="47">
      <c r="A47" s="3" t="s">
        <v>153</v>
      </c>
    </row>
    <row r="48">
      <c r="A48" s="3" t="s">
        <v>134</v>
      </c>
    </row>
    <row r="49">
      <c r="A49" s="3" t="s">
        <v>105</v>
      </c>
    </row>
    <row r="50">
      <c r="A50" s="3" t="s">
        <v>154</v>
      </c>
    </row>
    <row r="51">
      <c r="A51" s="3" t="s">
        <v>139</v>
      </c>
    </row>
    <row r="52">
      <c r="A52" s="3" t="s">
        <v>104</v>
      </c>
    </row>
    <row r="53">
      <c r="A53" s="3" t="s">
        <v>163</v>
      </c>
    </row>
    <row r="54">
      <c r="A54" s="3" t="s">
        <v>100</v>
      </c>
    </row>
    <row r="55">
      <c r="A55" s="3" t="s">
        <v>125</v>
      </c>
    </row>
    <row r="56">
      <c r="A56" s="3" t="s">
        <v>155</v>
      </c>
    </row>
    <row r="57">
      <c r="A57" s="3" t="s">
        <v>135</v>
      </c>
    </row>
    <row r="58">
      <c r="A58" s="3" t="s">
        <v>87</v>
      </c>
    </row>
    <row r="59">
      <c r="A59" s="3" t="s">
        <v>130</v>
      </c>
    </row>
    <row r="60">
      <c r="A60" s="3" t="s">
        <v>157</v>
      </c>
    </row>
    <row r="61">
      <c r="A61" s="3" t="s">
        <v>124</v>
      </c>
    </row>
    <row r="62">
      <c r="A62" s="3" t="s">
        <v>48</v>
      </c>
    </row>
    <row r="63">
      <c r="A63" s="3" t="s">
        <v>113</v>
      </c>
    </row>
    <row r="64">
      <c r="A64" s="3" t="s">
        <v>106</v>
      </c>
    </row>
    <row r="65">
      <c r="A65" s="3" t="s">
        <v>25</v>
      </c>
    </row>
    <row r="66">
      <c r="A66" s="3" t="s">
        <v>123</v>
      </c>
    </row>
    <row r="67">
      <c r="A67" s="3" t="s">
        <v>160</v>
      </c>
    </row>
    <row r="68">
      <c r="A68" s="3" t="s">
        <v>144</v>
      </c>
    </row>
    <row r="69">
      <c r="A69" s="3" t="s">
        <v>32</v>
      </c>
    </row>
    <row r="70">
      <c r="A70" s="3" t="s">
        <v>128</v>
      </c>
    </row>
    <row r="71">
      <c r="A71" s="3" t="s">
        <v>120</v>
      </c>
    </row>
    <row r="72">
      <c r="A72" s="3" t="s">
        <v>97</v>
      </c>
    </row>
    <row r="73">
      <c r="A73" s="3" t="s">
        <v>149</v>
      </c>
    </row>
    <row r="74">
      <c r="A74" s="3" t="s">
        <v>122</v>
      </c>
    </row>
    <row r="75">
      <c r="A75" s="3" t="s">
        <v>159</v>
      </c>
    </row>
    <row r="76">
      <c r="A76" s="3" t="s">
        <v>12</v>
      </c>
    </row>
    <row r="77">
      <c r="A77" s="3" t="s">
        <v>136</v>
      </c>
    </row>
    <row r="78">
      <c r="A78" s="3" t="s">
        <v>44</v>
      </c>
    </row>
    <row r="79">
      <c r="A79" s="3" t="s">
        <v>119</v>
      </c>
    </row>
    <row r="80">
      <c r="A80" s="3" t="s">
        <v>140</v>
      </c>
    </row>
    <row r="81">
      <c r="A81" s="3" t="s">
        <v>96</v>
      </c>
    </row>
    <row r="82">
      <c r="A82" s="3" t="s">
        <v>57</v>
      </c>
    </row>
    <row r="83">
      <c r="A83" s="3" t="s">
        <v>107</v>
      </c>
    </row>
    <row r="84">
      <c r="A84" s="3" t="s">
        <v>131</v>
      </c>
    </row>
    <row r="85">
      <c r="A85" s="3" t="s">
        <v>109</v>
      </c>
    </row>
    <row r="86">
      <c r="A86" s="3" t="s">
        <v>146</v>
      </c>
    </row>
    <row r="87">
      <c r="A87" s="3" t="s">
        <v>161</v>
      </c>
    </row>
    <row r="88">
      <c r="A88" s="3" t="s">
        <v>162</v>
      </c>
    </row>
    <row r="89">
      <c r="A89" s="3" t="s">
        <v>90</v>
      </c>
    </row>
    <row r="90">
      <c r="A90" s="3" t="s">
        <v>145</v>
      </c>
    </row>
    <row r="91">
      <c r="A91" s="3" t="s">
        <v>95</v>
      </c>
    </row>
    <row r="92">
      <c r="A92" s="3" t="s">
        <v>143</v>
      </c>
    </row>
    <row r="93">
      <c r="A93" s="3" t="s">
        <v>148</v>
      </c>
    </row>
    <row r="94">
      <c r="A94" s="3" t="s">
        <v>132</v>
      </c>
    </row>
    <row r="95">
      <c r="A95" s="3" t="s">
        <v>138</v>
      </c>
    </row>
    <row r="96">
      <c r="A96" s="3" t="s">
        <v>89</v>
      </c>
    </row>
    <row r="97">
      <c r="A97" s="3" t="s">
        <v>114</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5" max="5" width="24.75"/>
  </cols>
  <sheetData>
    <row r="1">
      <c r="A1" s="13" t="s">
        <v>168</v>
      </c>
      <c r="B1" s="13" t="s">
        <v>169</v>
      </c>
      <c r="C1" s="13" t="s">
        <v>170</v>
      </c>
      <c r="D1" s="13" t="s">
        <v>171</v>
      </c>
      <c r="E1" s="13" t="s">
        <v>172</v>
      </c>
      <c r="F1" s="13" t="s">
        <v>173</v>
      </c>
      <c r="G1" s="14"/>
      <c r="H1" s="14"/>
      <c r="I1" s="14"/>
      <c r="J1" s="14"/>
      <c r="K1" s="14"/>
      <c r="L1" s="14"/>
      <c r="M1" s="14"/>
      <c r="N1" s="14"/>
      <c r="O1" s="14"/>
      <c r="P1" s="14"/>
      <c r="Q1" s="14"/>
      <c r="R1" s="14"/>
      <c r="S1" s="14"/>
      <c r="T1" s="14"/>
      <c r="U1" s="14"/>
      <c r="V1" s="14"/>
    </row>
    <row r="2">
      <c r="A2" s="15" t="s">
        <v>174</v>
      </c>
      <c r="B2" s="15" t="s">
        <v>175</v>
      </c>
      <c r="C2" s="15" t="s">
        <v>176</v>
      </c>
      <c r="D2" s="15" t="s">
        <v>177</v>
      </c>
      <c r="E2" s="15" t="s">
        <v>178</v>
      </c>
      <c r="F2" s="15" t="s">
        <v>179</v>
      </c>
      <c r="G2" s="14"/>
      <c r="H2" s="14"/>
      <c r="I2" s="14"/>
      <c r="J2" s="14"/>
      <c r="K2" s="14"/>
      <c r="L2" s="14"/>
      <c r="M2" s="14"/>
      <c r="N2" s="14"/>
      <c r="O2" s="14"/>
      <c r="P2" s="14"/>
      <c r="Q2" s="14"/>
      <c r="R2" s="14"/>
      <c r="S2" s="14"/>
      <c r="T2" s="14"/>
      <c r="U2" s="14"/>
      <c r="V2" s="14"/>
    </row>
    <row r="3">
      <c r="A3" s="15" t="s">
        <v>180</v>
      </c>
      <c r="B3" s="15" t="s">
        <v>181</v>
      </c>
      <c r="C3" s="15" t="s">
        <v>1</v>
      </c>
      <c r="D3" s="15" t="s">
        <v>182</v>
      </c>
      <c r="E3" s="15" t="s">
        <v>183</v>
      </c>
      <c r="F3" s="15" t="s">
        <v>184</v>
      </c>
      <c r="G3" s="14"/>
      <c r="H3" s="14"/>
      <c r="I3" s="14"/>
      <c r="J3" s="14"/>
      <c r="K3" s="14"/>
      <c r="L3" s="14"/>
      <c r="M3" s="14"/>
      <c r="N3" s="14"/>
      <c r="O3" s="14"/>
      <c r="P3" s="14"/>
      <c r="Q3" s="14"/>
      <c r="R3" s="14"/>
      <c r="S3" s="14"/>
      <c r="T3" s="14"/>
      <c r="U3" s="14"/>
      <c r="V3" s="14"/>
    </row>
    <row r="4">
      <c r="A4" s="15" t="s">
        <v>185</v>
      </c>
      <c r="B4" s="15" t="s">
        <v>186</v>
      </c>
      <c r="C4" s="15" t="s">
        <v>2</v>
      </c>
      <c r="D4" s="15" t="s">
        <v>187</v>
      </c>
      <c r="E4" s="15" t="s">
        <v>188</v>
      </c>
      <c r="F4" s="15" t="s">
        <v>189</v>
      </c>
      <c r="G4" s="16"/>
      <c r="H4" s="14"/>
      <c r="I4" s="14"/>
      <c r="J4" s="14"/>
      <c r="K4" s="14"/>
      <c r="L4" s="14"/>
      <c r="M4" s="14"/>
      <c r="N4" s="14"/>
      <c r="O4" s="14"/>
      <c r="P4" s="14"/>
      <c r="Q4" s="14"/>
      <c r="R4" s="14"/>
      <c r="S4" s="14"/>
      <c r="T4" s="14"/>
      <c r="U4" s="14"/>
      <c r="V4" s="14"/>
    </row>
    <row r="5">
      <c r="A5" s="15" t="s">
        <v>190</v>
      </c>
      <c r="B5" s="15" t="s">
        <v>191</v>
      </c>
      <c r="C5" s="15" t="s">
        <v>3</v>
      </c>
      <c r="D5" s="15" t="s">
        <v>192</v>
      </c>
      <c r="E5" s="15" t="s">
        <v>193</v>
      </c>
      <c r="F5" s="15" t="s">
        <v>194</v>
      </c>
      <c r="G5" s="16"/>
      <c r="H5" s="14"/>
      <c r="I5" s="14"/>
      <c r="J5" s="14"/>
      <c r="K5" s="14"/>
      <c r="L5" s="14"/>
      <c r="M5" s="14"/>
      <c r="N5" s="14"/>
      <c r="O5" s="14"/>
      <c r="P5" s="14"/>
      <c r="Q5" s="14"/>
      <c r="R5" s="14"/>
      <c r="S5" s="14"/>
      <c r="T5" s="14"/>
      <c r="U5" s="14"/>
      <c r="V5" s="14"/>
    </row>
    <row r="6">
      <c r="A6" s="15" t="s">
        <v>195</v>
      </c>
      <c r="B6" s="14"/>
      <c r="C6" s="15" t="s">
        <v>4</v>
      </c>
      <c r="D6" s="14"/>
      <c r="E6" s="15" t="s">
        <v>196</v>
      </c>
      <c r="F6" s="15" t="s">
        <v>197</v>
      </c>
      <c r="G6" s="15"/>
      <c r="H6" s="14"/>
      <c r="I6" s="14"/>
      <c r="J6" s="14"/>
      <c r="K6" s="14"/>
      <c r="L6" s="14"/>
      <c r="M6" s="14"/>
      <c r="N6" s="14"/>
      <c r="O6" s="14"/>
      <c r="P6" s="14"/>
      <c r="Q6" s="14"/>
      <c r="R6" s="14"/>
      <c r="S6" s="14"/>
      <c r="T6" s="14"/>
      <c r="U6" s="14"/>
      <c r="V6" s="14"/>
    </row>
    <row r="7">
      <c r="A7" s="15" t="s">
        <v>198</v>
      </c>
      <c r="B7" s="14"/>
      <c r="C7" s="15" t="s">
        <v>5</v>
      </c>
      <c r="D7" s="14"/>
      <c r="E7" s="15" t="s">
        <v>199</v>
      </c>
      <c r="F7" s="15" t="s">
        <v>200</v>
      </c>
      <c r="G7" s="15"/>
      <c r="H7" s="14"/>
      <c r="I7" s="14"/>
      <c r="J7" s="14"/>
      <c r="K7" s="14"/>
      <c r="L7" s="14"/>
      <c r="M7" s="14"/>
      <c r="N7" s="14"/>
      <c r="O7" s="14"/>
      <c r="P7" s="14"/>
      <c r="Q7" s="14"/>
      <c r="R7" s="14"/>
      <c r="S7" s="14"/>
      <c r="T7" s="14"/>
      <c r="U7" s="14"/>
      <c r="V7" s="14"/>
    </row>
    <row r="8">
      <c r="A8" s="14"/>
      <c r="B8" s="14"/>
      <c r="C8" s="15" t="s">
        <v>6</v>
      </c>
      <c r="D8" s="14"/>
      <c r="E8" s="14"/>
      <c r="F8" s="15" t="s">
        <v>201</v>
      </c>
      <c r="G8" s="16"/>
      <c r="H8" s="14"/>
      <c r="I8" s="14"/>
      <c r="J8" s="14"/>
      <c r="K8" s="14"/>
      <c r="L8" s="14"/>
      <c r="M8" s="14"/>
      <c r="N8" s="14"/>
      <c r="O8" s="14"/>
      <c r="P8" s="14"/>
      <c r="Q8" s="14"/>
      <c r="R8" s="14"/>
      <c r="S8" s="14"/>
      <c r="T8" s="14"/>
      <c r="U8" s="14"/>
      <c r="V8" s="14"/>
    </row>
    <row r="9">
      <c r="A9" s="14"/>
      <c r="B9" s="14"/>
      <c r="C9" s="15" t="s">
        <v>7</v>
      </c>
      <c r="D9" s="14"/>
      <c r="E9" s="14"/>
      <c r="F9" s="15" t="s">
        <v>202</v>
      </c>
      <c r="G9" s="15"/>
      <c r="H9" s="14"/>
      <c r="I9" s="14"/>
      <c r="J9" s="14"/>
      <c r="K9" s="14"/>
      <c r="L9" s="14"/>
      <c r="M9" s="14"/>
      <c r="N9" s="14"/>
      <c r="O9" s="14"/>
      <c r="P9" s="14"/>
      <c r="Q9" s="14"/>
      <c r="R9" s="14"/>
      <c r="S9" s="14"/>
      <c r="T9" s="14"/>
      <c r="U9" s="14"/>
      <c r="V9" s="14"/>
    </row>
    <row r="10">
      <c r="A10" s="14"/>
      <c r="B10" s="14"/>
      <c r="C10" s="15" t="s">
        <v>8</v>
      </c>
      <c r="D10" s="14"/>
      <c r="E10" s="14"/>
      <c r="F10" s="15" t="s">
        <v>203</v>
      </c>
      <c r="G10" s="16"/>
      <c r="H10" s="14"/>
      <c r="I10" s="14"/>
      <c r="J10" s="14"/>
      <c r="K10" s="14"/>
      <c r="L10" s="14"/>
      <c r="M10" s="14"/>
      <c r="N10" s="14"/>
      <c r="O10" s="14"/>
      <c r="P10" s="14"/>
      <c r="Q10" s="14"/>
      <c r="R10" s="14"/>
      <c r="S10" s="14"/>
      <c r="T10" s="14"/>
      <c r="U10" s="14"/>
      <c r="V10" s="14"/>
    </row>
    <row r="11">
      <c r="A11" s="14"/>
      <c r="B11" s="14"/>
      <c r="C11" s="15" t="s">
        <v>9</v>
      </c>
      <c r="D11" s="14"/>
      <c r="E11" s="14"/>
      <c r="F11" s="15" t="s">
        <v>204</v>
      </c>
      <c r="G11" s="16"/>
      <c r="H11" s="14"/>
      <c r="I11" s="14"/>
      <c r="J11" s="14"/>
      <c r="K11" s="14"/>
      <c r="L11" s="14"/>
      <c r="M11" s="14"/>
      <c r="N11" s="14"/>
      <c r="O11" s="14"/>
      <c r="P11" s="14"/>
      <c r="Q11" s="14"/>
      <c r="R11" s="14"/>
      <c r="S11" s="14"/>
      <c r="T11" s="14"/>
      <c r="U11" s="14"/>
      <c r="V11" s="14"/>
    </row>
    <row r="12">
      <c r="A12" s="14"/>
      <c r="B12" s="14"/>
      <c r="C12" s="14"/>
      <c r="D12" s="14"/>
      <c r="E12" s="14"/>
      <c r="F12" s="15" t="s">
        <v>205</v>
      </c>
      <c r="G12" s="16"/>
      <c r="H12" s="14"/>
      <c r="I12" s="14"/>
      <c r="J12" s="14"/>
      <c r="K12" s="14"/>
      <c r="L12" s="14"/>
      <c r="M12" s="14"/>
      <c r="N12" s="14"/>
      <c r="O12" s="14"/>
      <c r="P12" s="14"/>
      <c r="Q12" s="14"/>
      <c r="R12" s="14"/>
      <c r="S12" s="14"/>
      <c r="T12" s="14"/>
      <c r="U12" s="14"/>
      <c r="V12" s="14"/>
    </row>
    <row r="13">
      <c r="A13" s="14"/>
      <c r="B13" s="14"/>
      <c r="C13" s="14"/>
      <c r="D13" s="14"/>
      <c r="E13" s="14"/>
      <c r="F13" s="15" t="s">
        <v>206</v>
      </c>
      <c r="G13" s="16"/>
      <c r="H13" s="14"/>
      <c r="I13" s="14"/>
      <c r="J13" s="14"/>
      <c r="K13" s="14"/>
      <c r="L13" s="14"/>
      <c r="M13" s="14"/>
      <c r="N13" s="14"/>
      <c r="O13" s="14"/>
      <c r="P13" s="14"/>
      <c r="Q13" s="14"/>
      <c r="R13" s="14"/>
      <c r="S13" s="14"/>
      <c r="T13" s="14"/>
      <c r="U13" s="14"/>
      <c r="V13" s="14"/>
    </row>
    <row r="14">
      <c r="A14" s="14"/>
      <c r="B14" s="14"/>
      <c r="C14" s="14"/>
      <c r="D14" s="14"/>
      <c r="E14" s="14"/>
      <c r="F14" s="15" t="s">
        <v>207</v>
      </c>
      <c r="G14" s="16"/>
      <c r="H14" s="14"/>
      <c r="I14" s="14"/>
      <c r="J14" s="14"/>
      <c r="K14" s="14"/>
      <c r="L14" s="14"/>
      <c r="M14" s="14"/>
      <c r="N14" s="14"/>
      <c r="O14" s="14"/>
      <c r="P14" s="14"/>
      <c r="Q14" s="14"/>
      <c r="R14" s="14"/>
      <c r="S14" s="14"/>
      <c r="T14" s="14"/>
      <c r="U14" s="14"/>
      <c r="V14" s="14"/>
    </row>
    <row r="15">
      <c r="A15" s="14"/>
      <c r="B15" s="14"/>
      <c r="C15" s="14"/>
      <c r="D15" s="14"/>
      <c r="E15" s="14"/>
      <c r="F15" s="15" t="s">
        <v>208</v>
      </c>
      <c r="G15" s="16"/>
      <c r="H15" s="14"/>
      <c r="I15" s="14"/>
      <c r="J15" s="14"/>
      <c r="K15" s="14"/>
      <c r="L15" s="14"/>
      <c r="M15" s="14"/>
      <c r="N15" s="14"/>
      <c r="O15" s="14"/>
      <c r="P15" s="14"/>
      <c r="Q15" s="14"/>
      <c r="R15" s="14"/>
      <c r="S15" s="14"/>
      <c r="T15" s="14"/>
      <c r="U15" s="14"/>
      <c r="V15" s="14"/>
    </row>
    <row r="16">
      <c r="A16" s="14"/>
      <c r="B16" s="14"/>
      <c r="C16" s="14"/>
      <c r="D16" s="14"/>
      <c r="E16" s="14"/>
      <c r="F16" s="15" t="s">
        <v>209</v>
      </c>
      <c r="G16" s="14"/>
      <c r="H16" s="14"/>
      <c r="I16" s="14"/>
      <c r="J16" s="14"/>
      <c r="K16" s="14"/>
      <c r="L16" s="14"/>
      <c r="M16" s="14"/>
      <c r="N16" s="14"/>
      <c r="O16" s="14"/>
      <c r="P16" s="14"/>
      <c r="Q16" s="14"/>
      <c r="R16" s="14"/>
      <c r="S16" s="14"/>
      <c r="T16" s="14"/>
      <c r="U16" s="14"/>
      <c r="V16" s="14"/>
    </row>
    <row r="17">
      <c r="A17" s="14"/>
      <c r="B17" s="14"/>
      <c r="C17" s="14"/>
      <c r="D17" s="14"/>
      <c r="E17" s="14"/>
      <c r="F17" s="15" t="s">
        <v>210</v>
      </c>
      <c r="G17" s="14"/>
      <c r="H17" s="14"/>
      <c r="I17" s="14"/>
      <c r="J17" s="14"/>
      <c r="K17" s="14"/>
      <c r="L17" s="14"/>
      <c r="M17" s="14"/>
      <c r="N17" s="14"/>
      <c r="O17" s="14"/>
      <c r="P17" s="14"/>
      <c r="Q17" s="14"/>
      <c r="R17" s="14"/>
      <c r="S17" s="14"/>
      <c r="T17" s="14"/>
      <c r="U17" s="14"/>
      <c r="V17" s="14"/>
    </row>
    <row r="18">
      <c r="A18" s="14"/>
      <c r="B18" s="14"/>
      <c r="C18" s="14"/>
      <c r="D18" s="14"/>
      <c r="E18" s="14"/>
      <c r="F18" s="15" t="s">
        <v>211</v>
      </c>
      <c r="G18" s="14"/>
      <c r="H18" s="14"/>
      <c r="I18" s="14"/>
      <c r="J18" s="14"/>
      <c r="K18" s="14"/>
      <c r="L18" s="14"/>
      <c r="M18" s="14"/>
      <c r="N18" s="14"/>
      <c r="O18" s="14"/>
      <c r="P18" s="14"/>
      <c r="Q18" s="14"/>
      <c r="R18" s="14"/>
      <c r="S18" s="14"/>
      <c r="T18" s="14"/>
      <c r="U18" s="14"/>
      <c r="V18" s="14"/>
    </row>
    <row r="19">
      <c r="A19" s="14"/>
      <c r="B19" s="14"/>
      <c r="C19" s="14"/>
      <c r="D19" s="14"/>
      <c r="E19" s="14"/>
      <c r="F19" s="15" t="s">
        <v>212</v>
      </c>
      <c r="G19" s="14"/>
      <c r="H19" s="14"/>
      <c r="I19" s="14"/>
      <c r="J19" s="14"/>
      <c r="K19" s="14"/>
      <c r="L19" s="14"/>
      <c r="M19" s="14"/>
      <c r="N19" s="14"/>
      <c r="O19" s="14"/>
      <c r="P19" s="14"/>
      <c r="Q19" s="14"/>
      <c r="R19" s="14"/>
      <c r="S19" s="14"/>
      <c r="T19" s="14"/>
      <c r="U19" s="14"/>
      <c r="V19" s="14"/>
    </row>
    <row r="20">
      <c r="A20" s="14"/>
      <c r="B20" s="14"/>
      <c r="C20" s="14"/>
      <c r="D20" s="14"/>
      <c r="E20" s="14"/>
      <c r="F20" s="15" t="s">
        <v>213</v>
      </c>
      <c r="G20" s="14"/>
      <c r="H20" s="14"/>
      <c r="I20" s="14"/>
      <c r="J20" s="14"/>
      <c r="K20" s="14"/>
      <c r="L20" s="14"/>
      <c r="M20" s="14"/>
      <c r="N20" s="14"/>
      <c r="O20" s="14"/>
      <c r="P20" s="14"/>
      <c r="Q20" s="14"/>
      <c r="R20" s="14"/>
      <c r="S20" s="14"/>
      <c r="T20" s="14"/>
      <c r="U20" s="14"/>
      <c r="V20" s="14"/>
    </row>
    <row r="21">
      <c r="A21" s="14"/>
      <c r="B21" s="14"/>
      <c r="C21" s="14"/>
      <c r="D21" s="14"/>
      <c r="E21" s="14"/>
      <c r="F21" s="15" t="s">
        <v>214</v>
      </c>
      <c r="G21" s="14"/>
      <c r="H21" s="14"/>
      <c r="I21" s="14"/>
      <c r="J21" s="14"/>
      <c r="K21" s="14"/>
      <c r="L21" s="14"/>
      <c r="M21" s="14"/>
      <c r="N21" s="14"/>
      <c r="O21" s="14"/>
      <c r="P21" s="14"/>
      <c r="Q21" s="14"/>
      <c r="R21" s="14"/>
      <c r="S21" s="14"/>
      <c r="T21" s="14"/>
      <c r="U21" s="14"/>
      <c r="V21" s="14"/>
    </row>
    <row r="22">
      <c r="A22" s="14"/>
      <c r="B22" s="14"/>
      <c r="C22" s="14"/>
      <c r="D22" s="14"/>
      <c r="E22" s="14"/>
      <c r="F22" s="14"/>
      <c r="G22" s="14"/>
      <c r="H22" s="14"/>
      <c r="I22" s="14"/>
      <c r="J22" s="14"/>
      <c r="K22" s="14"/>
      <c r="L22" s="14"/>
      <c r="M22" s="14"/>
      <c r="N22" s="14"/>
      <c r="O22" s="14"/>
      <c r="P22" s="14"/>
      <c r="Q22" s="14"/>
      <c r="R22" s="14"/>
      <c r="S22" s="14"/>
      <c r="T22" s="14"/>
      <c r="U22" s="14"/>
      <c r="V22" s="14"/>
    </row>
    <row r="23">
      <c r="A23" s="14"/>
      <c r="B23" s="14"/>
      <c r="C23" s="14"/>
      <c r="D23" s="14"/>
      <c r="E23" s="14"/>
      <c r="F23" s="14"/>
      <c r="G23" s="14"/>
      <c r="H23" s="14"/>
      <c r="I23" s="14"/>
      <c r="J23" s="14"/>
      <c r="K23" s="14"/>
      <c r="L23" s="14"/>
      <c r="M23" s="14"/>
      <c r="N23" s="14"/>
      <c r="O23" s="14"/>
      <c r="P23" s="14"/>
      <c r="Q23" s="14"/>
      <c r="R23" s="14"/>
      <c r="S23" s="14"/>
      <c r="T23" s="14"/>
      <c r="U23" s="14"/>
      <c r="V23" s="14"/>
    </row>
    <row r="24">
      <c r="A24" s="14"/>
      <c r="B24" s="14"/>
      <c r="C24" s="14"/>
      <c r="D24" s="14"/>
      <c r="E24" s="14"/>
      <c r="F24" s="14"/>
      <c r="G24" s="14"/>
      <c r="H24" s="14"/>
      <c r="I24" s="14"/>
      <c r="J24" s="14"/>
      <c r="K24" s="14"/>
      <c r="L24" s="14"/>
      <c r="M24" s="14"/>
      <c r="N24" s="14"/>
      <c r="O24" s="14"/>
      <c r="P24" s="14"/>
      <c r="Q24" s="14"/>
      <c r="R24" s="14"/>
      <c r="S24" s="14"/>
      <c r="T24" s="14"/>
      <c r="U24" s="14"/>
      <c r="V24" s="14"/>
    </row>
    <row r="25">
      <c r="A25" s="14"/>
      <c r="B25" s="14"/>
      <c r="C25" s="14"/>
      <c r="D25" s="14"/>
      <c r="E25" s="14"/>
      <c r="F25" s="14"/>
      <c r="G25" s="14"/>
      <c r="H25" s="14"/>
      <c r="I25" s="14"/>
      <c r="J25" s="14"/>
      <c r="K25" s="14"/>
      <c r="L25" s="14"/>
      <c r="M25" s="14"/>
      <c r="N25" s="14"/>
      <c r="O25" s="14"/>
      <c r="P25" s="14"/>
      <c r="Q25" s="14"/>
      <c r="R25" s="14"/>
      <c r="S25" s="14"/>
      <c r="T25" s="14"/>
      <c r="U25" s="14"/>
      <c r="V25" s="14"/>
    </row>
    <row r="26">
      <c r="A26" s="14"/>
      <c r="B26" s="14"/>
      <c r="C26" s="14"/>
      <c r="D26" s="14"/>
      <c r="E26" s="14"/>
      <c r="F26" s="14"/>
      <c r="G26" s="14"/>
      <c r="H26" s="14"/>
      <c r="I26" s="14"/>
      <c r="J26" s="14"/>
      <c r="K26" s="14"/>
      <c r="L26" s="14"/>
      <c r="M26" s="14"/>
      <c r="N26" s="14"/>
      <c r="O26" s="14"/>
      <c r="P26" s="14"/>
      <c r="Q26" s="14"/>
      <c r="R26" s="14"/>
      <c r="S26" s="14"/>
      <c r="T26" s="14"/>
      <c r="U26" s="14"/>
      <c r="V26" s="14"/>
    </row>
    <row r="27">
      <c r="A27" s="14"/>
      <c r="B27" s="14"/>
      <c r="C27" s="14"/>
      <c r="D27" s="14"/>
      <c r="E27" s="14"/>
      <c r="F27" s="14"/>
      <c r="G27" s="14"/>
      <c r="H27" s="14"/>
      <c r="I27" s="14"/>
      <c r="J27" s="14"/>
      <c r="K27" s="14"/>
      <c r="L27" s="14"/>
      <c r="M27" s="14"/>
      <c r="N27" s="14"/>
      <c r="O27" s="14"/>
      <c r="P27" s="14"/>
      <c r="Q27" s="14"/>
      <c r="R27" s="14"/>
      <c r="S27" s="14"/>
      <c r="T27" s="14"/>
      <c r="U27" s="14"/>
      <c r="V27" s="14"/>
    </row>
    <row r="28">
      <c r="A28" s="14"/>
      <c r="B28" s="14"/>
      <c r="C28" s="14"/>
      <c r="D28" s="14"/>
      <c r="E28" s="14"/>
      <c r="F28" s="14"/>
      <c r="G28" s="14"/>
      <c r="H28" s="14"/>
      <c r="I28" s="14"/>
      <c r="J28" s="14"/>
      <c r="K28" s="14"/>
      <c r="L28" s="14"/>
      <c r="M28" s="14"/>
      <c r="N28" s="14"/>
      <c r="O28" s="14"/>
      <c r="P28" s="14"/>
      <c r="Q28" s="14"/>
      <c r="R28" s="14"/>
      <c r="S28" s="14"/>
      <c r="T28" s="14"/>
      <c r="U28" s="14"/>
      <c r="V28" s="14"/>
    </row>
    <row r="29">
      <c r="A29" s="14"/>
      <c r="B29" s="14"/>
      <c r="C29" s="14"/>
      <c r="D29" s="14"/>
      <c r="E29" s="14"/>
      <c r="F29" s="14"/>
      <c r="G29" s="14"/>
      <c r="H29" s="14"/>
      <c r="I29" s="14"/>
      <c r="J29" s="14"/>
      <c r="K29" s="14"/>
      <c r="L29" s="14"/>
      <c r="M29" s="14"/>
      <c r="N29" s="14"/>
      <c r="O29" s="14"/>
      <c r="P29" s="14"/>
      <c r="Q29" s="14"/>
      <c r="R29" s="14"/>
      <c r="S29" s="14"/>
      <c r="T29" s="14"/>
      <c r="U29" s="14"/>
      <c r="V29" s="14"/>
    </row>
    <row r="30">
      <c r="A30" s="14"/>
      <c r="B30" s="14"/>
      <c r="C30" s="14"/>
      <c r="D30" s="14"/>
      <c r="E30" s="14"/>
      <c r="F30" s="14"/>
      <c r="G30" s="14"/>
      <c r="H30" s="14"/>
      <c r="I30" s="14"/>
      <c r="J30" s="14"/>
      <c r="K30" s="14"/>
      <c r="L30" s="14"/>
      <c r="M30" s="14"/>
      <c r="N30" s="14"/>
      <c r="O30" s="14"/>
      <c r="P30" s="14"/>
      <c r="Q30" s="14"/>
      <c r="R30" s="14"/>
      <c r="S30" s="14"/>
      <c r="T30" s="14"/>
      <c r="U30" s="14"/>
      <c r="V30" s="14"/>
    </row>
    <row r="31">
      <c r="A31" s="14"/>
      <c r="B31" s="14"/>
      <c r="C31" s="14"/>
      <c r="D31" s="14"/>
      <c r="E31" s="14"/>
      <c r="F31" s="14"/>
      <c r="G31" s="14"/>
      <c r="H31" s="14"/>
      <c r="I31" s="14"/>
      <c r="J31" s="14"/>
      <c r="K31" s="14"/>
      <c r="L31" s="14"/>
      <c r="M31" s="14"/>
      <c r="N31" s="14"/>
      <c r="O31" s="14"/>
      <c r="P31" s="14"/>
      <c r="Q31" s="14"/>
      <c r="R31" s="14"/>
      <c r="S31" s="14"/>
      <c r="T31" s="14"/>
      <c r="U31" s="14"/>
      <c r="V31" s="14"/>
    </row>
    <row r="32">
      <c r="A32" s="14"/>
      <c r="B32" s="14"/>
      <c r="C32" s="14"/>
      <c r="D32" s="14"/>
      <c r="E32" s="14"/>
      <c r="F32" s="14"/>
      <c r="G32" s="14"/>
      <c r="H32" s="14"/>
      <c r="I32" s="14"/>
      <c r="J32" s="14"/>
      <c r="K32" s="14"/>
      <c r="L32" s="14"/>
      <c r="M32" s="14"/>
      <c r="N32" s="14"/>
      <c r="O32" s="14"/>
      <c r="P32" s="14"/>
      <c r="Q32" s="14"/>
      <c r="R32" s="14"/>
      <c r="S32" s="14"/>
      <c r="T32" s="14"/>
      <c r="U32" s="14"/>
      <c r="V32" s="14"/>
    </row>
    <row r="33">
      <c r="A33" s="14"/>
      <c r="B33" s="14"/>
      <c r="C33" s="14"/>
      <c r="D33" s="14"/>
      <c r="E33" s="14"/>
      <c r="F33" s="14"/>
      <c r="G33" s="14"/>
      <c r="H33" s="14"/>
      <c r="I33" s="14"/>
      <c r="J33" s="14"/>
      <c r="K33" s="14"/>
      <c r="L33" s="14"/>
      <c r="M33" s="14"/>
      <c r="N33" s="14"/>
      <c r="O33" s="14"/>
      <c r="P33" s="14"/>
      <c r="Q33" s="14"/>
      <c r="R33" s="14"/>
      <c r="S33" s="14"/>
      <c r="T33" s="14"/>
      <c r="U33" s="14"/>
      <c r="V33" s="14"/>
    </row>
    <row r="34">
      <c r="A34" s="14"/>
      <c r="B34" s="14"/>
      <c r="C34" s="14"/>
      <c r="D34" s="14"/>
      <c r="E34" s="14"/>
      <c r="F34" s="14"/>
      <c r="G34" s="14"/>
      <c r="H34" s="14"/>
      <c r="I34" s="14"/>
      <c r="J34" s="14"/>
      <c r="K34" s="14"/>
      <c r="L34" s="14"/>
      <c r="M34" s="14"/>
      <c r="N34" s="14"/>
      <c r="O34" s="14"/>
      <c r="P34" s="14"/>
      <c r="Q34" s="14"/>
      <c r="R34" s="14"/>
      <c r="S34" s="14"/>
      <c r="T34" s="14"/>
      <c r="U34" s="14"/>
      <c r="V34" s="14"/>
    </row>
    <row r="35">
      <c r="A35" s="14"/>
      <c r="B35" s="14"/>
      <c r="C35" s="14"/>
      <c r="D35" s="14"/>
      <c r="E35" s="14"/>
      <c r="F35" s="14"/>
      <c r="G35" s="14"/>
      <c r="H35" s="14"/>
      <c r="I35" s="14"/>
      <c r="J35" s="14"/>
      <c r="K35" s="14"/>
      <c r="L35" s="14"/>
      <c r="M35" s="14"/>
      <c r="N35" s="14"/>
      <c r="O35" s="14"/>
      <c r="P35" s="14"/>
      <c r="Q35" s="14"/>
      <c r="R35" s="14"/>
      <c r="S35" s="14"/>
      <c r="T35" s="14"/>
      <c r="U35" s="14"/>
      <c r="V35" s="14"/>
    </row>
    <row r="36">
      <c r="A36" s="14"/>
      <c r="B36" s="14"/>
      <c r="C36" s="14"/>
      <c r="D36" s="14"/>
      <c r="E36" s="14"/>
      <c r="F36" s="14"/>
      <c r="G36" s="14"/>
      <c r="H36" s="14"/>
      <c r="I36" s="14"/>
      <c r="J36" s="14"/>
      <c r="K36" s="14"/>
      <c r="L36" s="14"/>
      <c r="M36" s="14"/>
      <c r="N36" s="14"/>
      <c r="O36" s="14"/>
      <c r="P36" s="14"/>
      <c r="Q36" s="14"/>
      <c r="R36" s="14"/>
      <c r="S36" s="14"/>
      <c r="T36" s="14"/>
      <c r="U36" s="14"/>
      <c r="V36" s="14"/>
    </row>
    <row r="37">
      <c r="A37" s="14"/>
      <c r="B37" s="14"/>
      <c r="C37" s="14"/>
      <c r="D37" s="14"/>
      <c r="E37" s="14"/>
      <c r="F37" s="14"/>
      <c r="G37" s="14"/>
      <c r="H37" s="14"/>
      <c r="I37" s="14"/>
      <c r="J37" s="14"/>
      <c r="K37" s="14"/>
      <c r="L37" s="14"/>
      <c r="M37" s="14"/>
      <c r="N37" s="14"/>
      <c r="O37" s="14"/>
      <c r="P37" s="14"/>
      <c r="Q37" s="14"/>
      <c r="R37" s="14"/>
      <c r="S37" s="14"/>
      <c r="T37" s="14"/>
      <c r="U37" s="14"/>
      <c r="V37" s="14"/>
    </row>
    <row r="38">
      <c r="A38" s="14"/>
      <c r="B38" s="14"/>
      <c r="C38" s="14"/>
      <c r="D38" s="14"/>
      <c r="E38" s="14"/>
      <c r="F38" s="14"/>
      <c r="G38" s="14"/>
      <c r="H38" s="14"/>
      <c r="I38" s="14"/>
      <c r="J38" s="14"/>
      <c r="K38" s="14"/>
      <c r="L38" s="14"/>
      <c r="M38" s="14"/>
      <c r="N38" s="14"/>
      <c r="O38" s="14"/>
      <c r="P38" s="14"/>
      <c r="Q38" s="14"/>
      <c r="R38" s="14"/>
      <c r="S38" s="14"/>
      <c r="T38" s="14"/>
      <c r="U38" s="14"/>
      <c r="V38" s="14"/>
    </row>
    <row r="39">
      <c r="A39" s="14"/>
      <c r="B39" s="14"/>
      <c r="C39" s="14"/>
      <c r="D39" s="14"/>
      <c r="E39" s="14"/>
      <c r="F39" s="14"/>
      <c r="G39" s="14"/>
      <c r="H39" s="14"/>
      <c r="I39" s="14"/>
      <c r="J39" s="14"/>
      <c r="K39" s="14"/>
      <c r="L39" s="14"/>
      <c r="M39" s="14"/>
      <c r="N39" s="14"/>
      <c r="O39" s="14"/>
      <c r="P39" s="14"/>
      <c r="Q39" s="14"/>
      <c r="R39" s="14"/>
      <c r="S39" s="14"/>
      <c r="T39" s="14"/>
      <c r="U39" s="14"/>
      <c r="V39" s="14"/>
    </row>
    <row r="40">
      <c r="A40" s="14"/>
      <c r="B40" s="14"/>
      <c r="C40" s="14"/>
      <c r="D40" s="14"/>
      <c r="E40" s="14"/>
      <c r="F40" s="14"/>
      <c r="G40" s="14"/>
      <c r="H40" s="14"/>
      <c r="I40" s="14"/>
      <c r="J40" s="14"/>
      <c r="K40" s="14"/>
      <c r="L40" s="14"/>
      <c r="M40" s="14"/>
      <c r="N40" s="14"/>
      <c r="O40" s="14"/>
      <c r="P40" s="14"/>
      <c r="Q40" s="14"/>
      <c r="R40" s="14"/>
      <c r="S40" s="14"/>
      <c r="T40" s="14"/>
      <c r="U40" s="14"/>
      <c r="V40" s="14"/>
    </row>
    <row r="41">
      <c r="A41" s="14"/>
      <c r="B41" s="14"/>
      <c r="C41" s="14"/>
      <c r="D41" s="14"/>
      <c r="E41" s="14"/>
      <c r="F41" s="14"/>
      <c r="G41" s="14"/>
      <c r="H41" s="14"/>
      <c r="I41" s="14"/>
      <c r="J41" s="14"/>
      <c r="K41" s="14"/>
      <c r="L41" s="14"/>
      <c r="M41" s="14"/>
      <c r="N41" s="14"/>
      <c r="O41" s="14"/>
      <c r="P41" s="14"/>
      <c r="Q41" s="14"/>
      <c r="R41" s="14"/>
      <c r="S41" s="14"/>
      <c r="T41" s="14"/>
      <c r="U41" s="14"/>
      <c r="V41" s="14"/>
    </row>
    <row r="42">
      <c r="A42" s="14"/>
      <c r="B42" s="14"/>
      <c r="C42" s="14"/>
      <c r="D42" s="14"/>
      <c r="E42" s="14"/>
      <c r="F42" s="14"/>
      <c r="G42" s="14"/>
      <c r="H42" s="14"/>
      <c r="I42" s="14"/>
      <c r="J42" s="14"/>
      <c r="K42" s="14"/>
      <c r="L42" s="14"/>
      <c r="M42" s="14"/>
      <c r="N42" s="14"/>
      <c r="O42" s="14"/>
      <c r="P42" s="14"/>
      <c r="Q42" s="14"/>
      <c r="R42" s="14"/>
      <c r="S42" s="14"/>
      <c r="T42" s="14"/>
      <c r="U42" s="14"/>
      <c r="V42" s="14"/>
    </row>
    <row r="43">
      <c r="A43" s="14"/>
      <c r="B43" s="14"/>
      <c r="C43" s="14"/>
      <c r="D43" s="14"/>
      <c r="E43" s="14"/>
      <c r="F43" s="14"/>
      <c r="G43" s="14"/>
      <c r="H43" s="14"/>
      <c r="I43" s="14"/>
      <c r="J43" s="14"/>
      <c r="K43" s="14"/>
      <c r="L43" s="14"/>
      <c r="M43" s="14"/>
      <c r="N43" s="14"/>
      <c r="O43" s="14"/>
      <c r="P43" s="14"/>
      <c r="Q43" s="14"/>
      <c r="R43" s="14"/>
      <c r="S43" s="14"/>
      <c r="T43" s="14"/>
      <c r="U43" s="14"/>
      <c r="V43" s="14"/>
    </row>
    <row r="44">
      <c r="A44" s="14"/>
      <c r="B44" s="14"/>
      <c r="C44" s="14"/>
      <c r="D44" s="14"/>
      <c r="E44" s="14"/>
      <c r="F44" s="14"/>
      <c r="G44" s="14"/>
      <c r="H44" s="14"/>
      <c r="I44" s="14"/>
      <c r="J44" s="14"/>
      <c r="K44" s="14"/>
      <c r="L44" s="14"/>
      <c r="M44" s="14"/>
      <c r="N44" s="14"/>
      <c r="O44" s="14"/>
      <c r="P44" s="14"/>
      <c r="Q44" s="14"/>
      <c r="R44" s="14"/>
      <c r="S44" s="14"/>
      <c r="T44" s="14"/>
      <c r="U44" s="14"/>
      <c r="V44" s="14"/>
    </row>
    <row r="45">
      <c r="A45" s="14"/>
      <c r="B45" s="14"/>
      <c r="C45" s="14"/>
      <c r="D45" s="14"/>
      <c r="E45" s="14"/>
      <c r="F45" s="14"/>
      <c r="G45" s="14"/>
      <c r="H45" s="14"/>
      <c r="I45" s="14"/>
      <c r="J45" s="14"/>
      <c r="K45" s="14"/>
      <c r="L45" s="14"/>
      <c r="M45" s="14"/>
      <c r="N45" s="14"/>
      <c r="O45" s="14"/>
      <c r="P45" s="14"/>
      <c r="Q45" s="14"/>
      <c r="R45" s="14"/>
      <c r="S45" s="14"/>
      <c r="T45" s="14"/>
      <c r="U45" s="14"/>
      <c r="V45" s="14"/>
    </row>
    <row r="46">
      <c r="A46" s="14"/>
      <c r="B46" s="14"/>
      <c r="C46" s="14"/>
      <c r="D46" s="14"/>
      <c r="E46" s="14"/>
      <c r="F46" s="14"/>
      <c r="G46" s="14"/>
      <c r="H46" s="14"/>
      <c r="I46" s="14"/>
      <c r="J46" s="14"/>
      <c r="K46" s="14"/>
      <c r="L46" s="14"/>
      <c r="M46" s="14"/>
      <c r="N46" s="14"/>
      <c r="O46" s="14"/>
      <c r="P46" s="14"/>
      <c r="Q46" s="14"/>
      <c r="R46" s="14"/>
      <c r="S46" s="14"/>
      <c r="T46" s="14"/>
      <c r="U46" s="14"/>
      <c r="V46" s="14"/>
    </row>
    <row r="47">
      <c r="A47" s="14"/>
      <c r="B47" s="14"/>
      <c r="C47" s="14"/>
      <c r="D47" s="14"/>
      <c r="E47" s="14"/>
      <c r="F47" s="14"/>
      <c r="G47" s="14"/>
      <c r="H47" s="14"/>
      <c r="I47" s="14"/>
      <c r="J47" s="14"/>
      <c r="K47" s="14"/>
      <c r="L47" s="14"/>
      <c r="M47" s="14"/>
      <c r="N47" s="14"/>
      <c r="O47" s="14"/>
      <c r="P47" s="14"/>
      <c r="Q47" s="14"/>
      <c r="R47" s="14"/>
      <c r="S47" s="14"/>
      <c r="T47" s="14"/>
      <c r="U47" s="14"/>
      <c r="V47" s="14"/>
    </row>
    <row r="48">
      <c r="A48" s="14"/>
      <c r="B48" s="14"/>
      <c r="C48" s="14"/>
      <c r="D48" s="14"/>
      <c r="E48" s="14"/>
      <c r="F48" s="14"/>
      <c r="G48" s="14"/>
      <c r="H48" s="14"/>
      <c r="I48" s="14"/>
      <c r="J48" s="14"/>
      <c r="K48" s="14"/>
      <c r="L48" s="14"/>
      <c r="M48" s="14"/>
      <c r="N48" s="14"/>
      <c r="O48" s="14"/>
      <c r="P48" s="14"/>
      <c r="Q48" s="14"/>
      <c r="R48" s="14"/>
      <c r="S48" s="14"/>
      <c r="T48" s="14"/>
      <c r="U48" s="14"/>
      <c r="V48" s="14"/>
    </row>
    <row r="49">
      <c r="A49" s="14"/>
      <c r="B49" s="14"/>
      <c r="C49" s="14"/>
      <c r="D49" s="14"/>
      <c r="E49" s="14"/>
      <c r="F49" s="14"/>
      <c r="G49" s="14"/>
      <c r="H49" s="14"/>
      <c r="I49" s="14"/>
      <c r="J49" s="14"/>
      <c r="K49" s="14"/>
      <c r="L49" s="14"/>
      <c r="M49" s="14"/>
      <c r="N49" s="14"/>
      <c r="O49" s="14"/>
      <c r="P49" s="14"/>
      <c r="Q49" s="14"/>
      <c r="R49" s="14"/>
      <c r="S49" s="14"/>
      <c r="T49" s="14"/>
      <c r="U49" s="14"/>
      <c r="V49" s="14"/>
    </row>
    <row r="50">
      <c r="A50" s="14"/>
      <c r="B50" s="14"/>
      <c r="C50" s="14"/>
      <c r="D50" s="14"/>
      <c r="E50" s="14"/>
      <c r="F50" s="14"/>
      <c r="G50" s="14"/>
      <c r="H50" s="14"/>
      <c r="I50" s="14"/>
      <c r="J50" s="14"/>
      <c r="K50" s="14"/>
      <c r="L50" s="14"/>
      <c r="M50" s="14"/>
      <c r="N50" s="14"/>
      <c r="O50" s="14"/>
      <c r="P50" s="14"/>
      <c r="Q50" s="14"/>
      <c r="R50" s="14"/>
      <c r="S50" s="14"/>
      <c r="T50" s="14"/>
      <c r="U50" s="14"/>
      <c r="V50" s="14"/>
    </row>
    <row r="51">
      <c r="A51" s="14"/>
      <c r="B51" s="14"/>
      <c r="C51" s="14"/>
      <c r="D51" s="14"/>
      <c r="E51" s="14"/>
      <c r="F51" s="14"/>
      <c r="G51" s="14"/>
      <c r="H51" s="14"/>
      <c r="I51" s="14"/>
      <c r="J51" s="14"/>
      <c r="K51" s="14"/>
      <c r="L51" s="14"/>
      <c r="M51" s="14"/>
      <c r="N51" s="14"/>
      <c r="O51" s="14"/>
      <c r="P51" s="14"/>
      <c r="Q51" s="14"/>
      <c r="R51" s="14"/>
      <c r="S51" s="14"/>
      <c r="T51" s="14"/>
      <c r="U51" s="14"/>
      <c r="V51" s="14"/>
    </row>
    <row r="52">
      <c r="A52" s="14"/>
      <c r="B52" s="14"/>
      <c r="C52" s="14"/>
      <c r="D52" s="14"/>
      <c r="E52" s="14"/>
      <c r="F52" s="14"/>
      <c r="G52" s="14"/>
      <c r="H52" s="14"/>
      <c r="I52" s="14"/>
      <c r="J52" s="14"/>
      <c r="K52" s="14"/>
      <c r="L52" s="14"/>
      <c r="M52" s="14"/>
      <c r="N52" s="14"/>
      <c r="O52" s="14"/>
      <c r="P52" s="14"/>
      <c r="Q52" s="14"/>
      <c r="R52" s="14"/>
      <c r="S52" s="14"/>
      <c r="T52" s="14"/>
      <c r="U52" s="14"/>
      <c r="V52" s="14"/>
    </row>
    <row r="53">
      <c r="A53" s="14"/>
      <c r="B53" s="14"/>
      <c r="C53" s="14"/>
      <c r="D53" s="14"/>
      <c r="E53" s="14"/>
      <c r="F53" s="14"/>
      <c r="G53" s="14"/>
      <c r="H53" s="14"/>
      <c r="I53" s="14"/>
      <c r="J53" s="14"/>
      <c r="K53" s="14"/>
      <c r="L53" s="14"/>
      <c r="M53" s="14"/>
      <c r="N53" s="14"/>
      <c r="O53" s="14"/>
      <c r="P53" s="14"/>
      <c r="Q53" s="14"/>
      <c r="R53" s="14"/>
      <c r="S53" s="14"/>
      <c r="T53" s="14"/>
      <c r="U53" s="14"/>
      <c r="V53" s="14"/>
    </row>
    <row r="54">
      <c r="A54" s="14"/>
      <c r="B54" s="14"/>
      <c r="C54" s="14"/>
      <c r="D54" s="14"/>
      <c r="E54" s="14"/>
      <c r="F54" s="14"/>
      <c r="G54" s="14"/>
      <c r="H54" s="14"/>
      <c r="I54" s="14"/>
      <c r="J54" s="14"/>
      <c r="K54" s="14"/>
      <c r="L54" s="14"/>
      <c r="M54" s="14"/>
      <c r="N54" s="14"/>
      <c r="O54" s="14"/>
      <c r="P54" s="14"/>
      <c r="Q54" s="14"/>
      <c r="R54" s="14"/>
      <c r="S54" s="14"/>
      <c r="T54" s="14"/>
      <c r="U54" s="14"/>
      <c r="V54" s="14"/>
    </row>
    <row r="55">
      <c r="A55" s="14"/>
      <c r="B55" s="14"/>
      <c r="C55" s="14"/>
      <c r="D55" s="14"/>
      <c r="E55" s="14"/>
      <c r="F55" s="14"/>
      <c r="G55" s="14"/>
      <c r="H55" s="14"/>
      <c r="I55" s="14"/>
      <c r="J55" s="14"/>
      <c r="K55" s="14"/>
      <c r="L55" s="14"/>
      <c r="M55" s="14"/>
      <c r="N55" s="14"/>
      <c r="O55" s="14"/>
      <c r="P55" s="14"/>
      <c r="Q55" s="14"/>
      <c r="R55" s="14"/>
      <c r="S55" s="14"/>
      <c r="T55" s="14"/>
      <c r="U55" s="14"/>
      <c r="V55" s="14"/>
    </row>
    <row r="56">
      <c r="A56" s="14"/>
      <c r="B56" s="14"/>
      <c r="C56" s="14"/>
      <c r="D56" s="14"/>
      <c r="E56" s="14"/>
      <c r="F56" s="14"/>
      <c r="G56" s="14"/>
      <c r="H56" s="14"/>
      <c r="I56" s="14"/>
      <c r="J56" s="14"/>
      <c r="K56" s="14"/>
      <c r="L56" s="14"/>
      <c r="M56" s="14"/>
      <c r="N56" s="14"/>
      <c r="O56" s="14"/>
      <c r="P56" s="14"/>
      <c r="Q56" s="14"/>
      <c r="R56" s="14"/>
      <c r="S56" s="14"/>
      <c r="T56" s="14"/>
      <c r="U56" s="14"/>
      <c r="V56" s="14"/>
    </row>
    <row r="57">
      <c r="A57" s="14"/>
      <c r="B57" s="14"/>
      <c r="C57" s="14"/>
      <c r="D57" s="14"/>
      <c r="E57" s="14"/>
      <c r="F57" s="14"/>
      <c r="G57" s="14"/>
      <c r="H57" s="14"/>
      <c r="I57" s="14"/>
      <c r="J57" s="14"/>
      <c r="K57" s="14"/>
      <c r="L57" s="14"/>
      <c r="M57" s="14"/>
      <c r="N57" s="14"/>
      <c r="O57" s="14"/>
      <c r="P57" s="14"/>
      <c r="Q57" s="14"/>
      <c r="R57" s="14"/>
      <c r="S57" s="14"/>
      <c r="T57" s="14"/>
      <c r="U57" s="14"/>
      <c r="V57" s="14"/>
    </row>
    <row r="58">
      <c r="A58" s="14"/>
      <c r="B58" s="14"/>
      <c r="C58" s="14"/>
      <c r="D58" s="14"/>
      <c r="E58" s="14"/>
      <c r="F58" s="14"/>
      <c r="G58" s="14"/>
      <c r="H58" s="14"/>
      <c r="I58" s="14"/>
      <c r="J58" s="14"/>
      <c r="K58" s="14"/>
      <c r="L58" s="14"/>
      <c r="M58" s="14"/>
      <c r="N58" s="14"/>
      <c r="O58" s="14"/>
      <c r="P58" s="14"/>
      <c r="Q58" s="14"/>
      <c r="R58" s="14"/>
      <c r="S58" s="14"/>
      <c r="T58" s="14"/>
      <c r="U58" s="14"/>
      <c r="V58" s="14"/>
    </row>
    <row r="59">
      <c r="A59" s="14"/>
      <c r="B59" s="14"/>
      <c r="C59" s="14"/>
      <c r="D59" s="14"/>
      <c r="E59" s="14"/>
      <c r="F59" s="14"/>
      <c r="G59" s="14"/>
      <c r="H59" s="14"/>
      <c r="I59" s="14"/>
      <c r="J59" s="14"/>
      <c r="K59" s="14"/>
      <c r="L59" s="14"/>
      <c r="M59" s="14"/>
      <c r="N59" s="14"/>
      <c r="O59" s="14"/>
      <c r="P59" s="14"/>
      <c r="Q59" s="14"/>
      <c r="R59" s="14"/>
      <c r="S59" s="14"/>
      <c r="T59" s="14"/>
      <c r="U59" s="14"/>
      <c r="V59" s="14"/>
    </row>
    <row r="60">
      <c r="A60" s="14"/>
      <c r="B60" s="14"/>
      <c r="C60" s="14"/>
      <c r="D60" s="14"/>
      <c r="E60" s="14"/>
      <c r="F60" s="14"/>
      <c r="G60" s="14"/>
      <c r="H60" s="14"/>
      <c r="I60" s="14"/>
      <c r="J60" s="14"/>
      <c r="K60" s="14"/>
      <c r="L60" s="14"/>
      <c r="M60" s="14"/>
      <c r="N60" s="14"/>
      <c r="O60" s="14"/>
      <c r="P60" s="14"/>
      <c r="Q60" s="14"/>
      <c r="R60" s="14"/>
      <c r="S60" s="14"/>
      <c r="T60" s="14"/>
      <c r="U60" s="14"/>
      <c r="V60" s="14"/>
    </row>
    <row r="61">
      <c r="A61" s="14"/>
      <c r="B61" s="14"/>
      <c r="C61" s="14"/>
      <c r="D61" s="14"/>
      <c r="E61" s="14"/>
      <c r="F61" s="14"/>
      <c r="G61" s="14"/>
      <c r="H61" s="14"/>
      <c r="I61" s="14"/>
      <c r="J61" s="14"/>
      <c r="K61" s="14"/>
      <c r="L61" s="14"/>
      <c r="M61" s="14"/>
      <c r="N61" s="14"/>
      <c r="O61" s="14"/>
      <c r="P61" s="14"/>
      <c r="Q61" s="14"/>
      <c r="R61" s="14"/>
      <c r="S61" s="14"/>
      <c r="T61" s="14"/>
      <c r="U61" s="14"/>
      <c r="V61" s="14"/>
    </row>
    <row r="62">
      <c r="A62" s="14"/>
      <c r="B62" s="14"/>
      <c r="C62" s="14"/>
      <c r="D62" s="14"/>
      <c r="E62" s="14"/>
      <c r="F62" s="14"/>
      <c r="G62" s="14"/>
      <c r="H62" s="14"/>
      <c r="I62" s="14"/>
      <c r="J62" s="14"/>
      <c r="K62" s="14"/>
      <c r="L62" s="14"/>
      <c r="M62" s="14"/>
      <c r="N62" s="14"/>
      <c r="O62" s="14"/>
      <c r="P62" s="14"/>
      <c r="Q62" s="14"/>
      <c r="R62" s="14"/>
      <c r="S62" s="14"/>
      <c r="T62" s="14"/>
      <c r="U62" s="14"/>
      <c r="V62" s="14"/>
    </row>
    <row r="63">
      <c r="A63" s="14"/>
      <c r="B63" s="14"/>
      <c r="C63" s="14"/>
      <c r="D63" s="14"/>
      <c r="E63" s="14"/>
      <c r="F63" s="14"/>
      <c r="G63" s="14"/>
      <c r="H63" s="14"/>
      <c r="I63" s="14"/>
      <c r="J63" s="14"/>
      <c r="K63" s="14"/>
      <c r="L63" s="14"/>
      <c r="M63" s="14"/>
      <c r="N63" s="14"/>
      <c r="O63" s="14"/>
      <c r="P63" s="14"/>
      <c r="Q63" s="14"/>
      <c r="R63" s="14"/>
      <c r="S63" s="14"/>
      <c r="T63" s="14"/>
      <c r="U63" s="14"/>
      <c r="V63" s="14"/>
    </row>
    <row r="64">
      <c r="A64" s="14"/>
      <c r="B64" s="14"/>
      <c r="C64" s="14"/>
      <c r="D64" s="14"/>
      <c r="E64" s="14"/>
      <c r="F64" s="14"/>
      <c r="G64" s="14"/>
      <c r="H64" s="14"/>
      <c r="I64" s="14"/>
      <c r="J64" s="14"/>
      <c r="K64" s="14"/>
      <c r="L64" s="14"/>
      <c r="M64" s="14"/>
      <c r="N64" s="14"/>
      <c r="O64" s="14"/>
      <c r="P64" s="14"/>
      <c r="Q64" s="14"/>
      <c r="R64" s="14"/>
      <c r="S64" s="14"/>
      <c r="T64" s="14"/>
      <c r="U64" s="14"/>
      <c r="V64" s="14"/>
    </row>
    <row r="65">
      <c r="A65" s="14"/>
      <c r="B65" s="14"/>
      <c r="C65" s="14"/>
      <c r="D65" s="14"/>
      <c r="E65" s="14"/>
      <c r="F65" s="14"/>
      <c r="G65" s="14"/>
      <c r="H65" s="14"/>
      <c r="I65" s="14"/>
      <c r="J65" s="14"/>
      <c r="K65" s="14"/>
      <c r="L65" s="14"/>
      <c r="M65" s="14"/>
      <c r="N65" s="14"/>
      <c r="O65" s="14"/>
      <c r="P65" s="14"/>
      <c r="Q65" s="14"/>
      <c r="R65" s="14"/>
      <c r="S65" s="14"/>
      <c r="T65" s="14"/>
      <c r="U65" s="14"/>
      <c r="V65" s="14"/>
    </row>
    <row r="66">
      <c r="A66" s="14"/>
      <c r="B66" s="14"/>
      <c r="C66" s="14"/>
      <c r="D66" s="14"/>
      <c r="E66" s="14"/>
      <c r="F66" s="14"/>
      <c r="G66" s="14"/>
      <c r="H66" s="14"/>
      <c r="I66" s="14"/>
      <c r="J66" s="14"/>
      <c r="K66" s="14"/>
      <c r="L66" s="14"/>
      <c r="M66" s="14"/>
      <c r="N66" s="14"/>
      <c r="O66" s="14"/>
      <c r="P66" s="14"/>
      <c r="Q66" s="14"/>
      <c r="R66" s="14"/>
      <c r="S66" s="14"/>
      <c r="T66" s="14"/>
      <c r="U66" s="14"/>
      <c r="V66" s="14"/>
    </row>
    <row r="67">
      <c r="A67" s="14"/>
      <c r="B67" s="14"/>
      <c r="C67" s="14"/>
      <c r="D67" s="14"/>
      <c r="E67" s="14"/>
      <c r="F67" s="14"/>
      <c r="G67" s="14"/>
      <c r="H67" s="14"/>
      <c r="I67" s="14"/>
      <c r="J67" s="14"/>
      <c r="K67" s="14"/>
      <c r="L67" s="14"/>
      <c r="M67" s="14"/>
      <c r="N67" s="14"/>
      <c r="O67" s="14"/>
      <c r="P67" s="14"/>
      <c r="Q67" s="14"/>
      <c r="R67" s="14"/>
      <c r="S67" s="14"/>
      <c r="T67" s="14"/>
      <c r="U67" s="14"/>
      <c r="V67" s="14"/>
    </row>
    <row r="68">
      <c r="A68" s="14"/>
      <c r="B68" s="14"/>
      <c r="C68" s="14"/>
      <c r="D68" s="14"/>
      <c r="E68" s="14"/>
      <c r="F68" s="14"/>
      <c r="G68" s="14"/>
      <c r="H68" s="14"/>
      <c r="I68" s="14"/>
      <c r="J68" s="14"/>
      <c r="K68" s="14"/>
      <c r="L68" s="14"/>
      <c r="M68" s="14"/>
      <c r="N68" s="14"/>
      <c r="O68" s="14"/>
      <c r="P68" s="14"/>
      <c r="Q68" s="14"/>
      <c r="R68" s="14"/>
      <c r="S68" s="14"/>
      <c r="T68" s="14"/>
      <c r="U68" s="14"/>
      <c r="V68" s="14"/>
    </row>
    <row r="69">
      <c r="A69" s="14"/>
      <c r="B69" s="14"/>
      <c r="C69" s="14"/>
      <c r="D69" s="14"/>
      <c r="E69" s="14"/>
      <c r="F69" s="14"/>
      <c r="G69" s="14"/>
      <c r="H69" s="14"/>
      <c r="I69" s="14"/>
      <c r="J69" s="14"/>
      <c r="K69" s="14"/>
      <c r="L69" s="14"/>
      <c r="M69" s="14"/>
      <c r="N69" s="14"/>
      <c r="O69" s="14"/>
      <c r="P69" s="14"/>
      <c r="Q69" s="14"/>
      <c r="R69" s="14"/>
      <c r="S69" s="14"/>
      <c r="T69" s="14"/>
      <c r="U69" s="14"/>
      <c r="V69" s="14"/>
    </row>
    <row r="70">
      <c r="A70" s="14"/>
      <c r="B70" s="14"/>
      <c r="C70" s="14"/>
      <c r="D70" s="14"/>
      <c r="E70" s="14"/>
      <c r="F70" s="14"/>
      <c r="G70" s="14"/>
      <c r="H70" s="14"/>
      <c r="I70" s="14"/>
      <c r="J70" s="14"/>
      <c r="K70" s="14"/>
      <c r="L70" s="14"/>
      <c r="M70" s="14"/>
      <c r="N70" s="14"/>
      <c r="O70" s="14"/>
      <c r="P70" s="14"/>
      <c r="Q70" s="14"/>
      <c r="R70" s="14"/>
      <c r="S70" s="14"/>
      <c r="T70" s="14"/>
      <c r="U70" s="14"/>
      <c r="V70" s="14"/>
    </row>
    <row r="71">
      <c r="A71" s="14"/>
      <c r="B71" s="14"/>
      <c r="C71" s="14"/>
      <c r="D71" s="14"/>
      <c r="E71" s="14"/>
      <c r="F71" s="14"/>
      <c r="G71" s="14"/>
      <c r="H71" s="14"/>
      <c r="I71" s="14"/>
      <c r="J71" s="14"/>
      <c r="K71" s="14"/>
      <c r="L71" s="14"/>
      <c r="M71" s="14"/>
      <c r="N71" s="14"/>
      <c r="O71" s="14"/>
      <c r="P71" s="14"/>
      <c r="Q71" s="14"/>
      <c r="R71" s="14"/>
      <c r="S71" s="14"/>
      <c r="T71" s="14"/>
      <c r="U71" s="14"/>
      <c r="V71" s="14"/>
    </row>
    <row r="72">
      <c r="A72" s="14"/>
      <c r="B72" s="14"/>
      <c r="C72" s="14"/>
      <c r="D72" s="14"/>
      <c r="E72" s="14"/>
      <c r="F72" s="14"/>
      <c r="G72" s="14"/>
      <c r="H72" s="14"/>
      <c r="I72" s="14"/>
      <c r="J72" s="14"/>
      <c r="K72" s="14"/>
      <c r="L72" s="14"/>
      <c r="M72" s="14"/>
      <c r="N72" s="14"/>
      <c r="O72" s="14"/>
      <c r="P72" s="14"/>
      <c r="Q72" s="14"/>
      <c r="R72" s="14"/>
      <c r="S72" s="14"/>
      <c r="T72" s="14"/>
      <c r="U72" s="14"/>
      <c r="V72" s="14"/>
    </row>
    <row r="73">
      <c r="A73" s="14"/>
      <c r="B73" s="14"/>
      <c r="C73" s="14"/>
      <c r="D73" s="14"/>
      <c r="E73" s="14"/>
      <c r="F73" s="14"/>
      <c r="G73" s="14"/>
      <c r="H73" s="14"/>
      <c r="I73" s="14"/>
      <c r="J73" s="14"/>
      <c r="K73" s="14"/>
      <c r="L73" s="14"/>
      <c r="M73" s="14"/>
      <c r="N73" s="14"/>
      <c r="O73" s="14"/>
      <c r="P73" s="14"/>
      <c r="Q73" s="14"/>
      <c r="R73" s="14"/>
      <c r="S73" s="14"/>
      <c r="T73" s="14"/>
      <c r="U73" s="14"/>
      <c r="V73" s="14"/>
    </row>
    <row r="74">
      <c r="A74" s="14"/>
      <c r="B74" s="14"/>
      <c r="C74" s="14"/>
      <c r="D74" s="14"/>
      <c r="E74" s="14"/>
      <c r="F74" s="14"/>
      <c r="G74" s="14"/>
      <c r="H74" s="14"/>
      <c r="I74" s="14"/>
      <c r="J74" s="14"/>
      <c r="K74" s="14"/>
      <c r="L74" s="14"/>
      <c r="M74" s="14"/>
      <c r="N74" s="14"/>
      <c r="O74" s="14"/>
      <c r="P74" s="14"/>
      <c r="Q74" s="14"/>
      <c r="R74" s="14"/>
      <c r="S74" s="14"/>
      <c r="T74" s="14"/>
      <c r="U74" s="14"/>
      <c r="V74" s="14"/>
    </row>
    <row r="75">
      <c r="A75" s="14"/>
      <c r="B75" s="14"/>
      <c r="C75" s="14"/>
      <c r="D75" s="14"/>
      <c r="E75" s="14"/>
      <c r="F75" s="14"/>
      <c r="G75" s="14"/>
      <c r="H75" s="14"/>
      <c r="I75" s="14"/>
      <c r="J75" s="14"/>
      <c r="K75" s="14"/>
      <c r="L75" s="14"/>
      <c r="M75" s="14"/>
      <c r="N75" s="14"/>
      <c r="O75" s="14"/>
      <c r="P75" s="14"/>
      <c r="Q75" s="14"/>
      <c r="R75" s="14"/>
      <c r="S75" s="14"/>
      <c r="T75" s="14"/>
      <c r="U75" s="14"/>
      <c r="V75" s="14"/>
    </row>
    <row r="76">
      <c r="A76" s="14"/>
      <c r="B76" s="14"/>
      <c r="C76" s="14"/>
      <c r="D76" s="14"/>
      <c r="E76" s="14"/>
      <c r="F76" s="14"/>
      <c r="G76" s="14"/>
      <c r="H76" s="14"/>
      <c r="I76" s="14"/>
      <c r="J76" s="14"/>
      <c r="K76" s="14"/>
      <c r="L76" s="14"/>
      <c r="M76" s="14"/>
      <c r="N76" s="14"/>
      <c r="O76" s="14"/>
      <c r="P76" s="14"/>
      <c r="Q76" s="14"/>
      <c r="R76" s="14"/>
      <c r="S76" s="14"/>
      <c r="T76" s="14"/>
      <c r="U76" s="14"/>
      <c r="V76" s="14"/>
    </row>
    <row r="77">
      <c r="A77" s="14"/>
      <c r="B77" s="14"/>
      <c r="C77" s="14"/>
      <c r="D77" s="14"/>
      <c r="E77" s="14"/>
      <c r="F77" s="14"/>
      <c r="G77" s="14"/>
      <c r="H77" s="14"/>
      <c r="I77" s="14"/>
      <c r="J77" s="14"/>
      <c r="K77" s="14"/>
      <c r="L77" s="14"/>
      <c r="M77" s="14"/>
      <c r="N77" s="14"/>
      <c r="O77" s="14"/>
      <c r="P77" s="14"/>
      <c r="Q77" s="14"/>
      <c r="R77" s="14"/>
      <c r="S77" s="14"/>
      <c r="T77" s="14"/>
      <c r="U77" s="14"/>
      <c r="V77" s="14"/>
    </row>
    <row r="78">
      <c r="A78" s="14"/>
      <c r="B78" s="14"/>
      <c r="C78" s="14"/>
      <c r="D78" s="14"/>
      <c r="E78" s="14"/>
      <c r="F78" s="14"/>
      <c r="G78" s="14"/>
      <c r="H78" s="14"/>
      <c r="I78" s="14"/>
      <c r="J78" s="14"/>
      <c r="K78" s="14"/>
      <c r="L78" s="14"/>
      <c r="M78" s="14"/>
      <c r="N78" s="14"/>
      <c r="O78" s="14"/>
      <c r="P78" s="14"/>
      <c r="Q78" s="14"/>
      <c r="R78" s="14"/>
      <c r="S78" s="14"/>
      <c r="T78" s="14"/>
      <c r="U78" s="14"/>
      <c r="V78" s="14"/>
    </row>
    <row r="79">
      <c r="A79" s="14"/>
      <c r="B79" s="14"/>
      <c r="C79" s="14"/>
      <c r="D79" s="14"/>
      <c r="E79" s="14"/>
      <c r="F79" s="14"/>
      <c r="G79" s="14"/>
      <c r="H79" s="14"/>
      <c r="I79" s="14"/>
      <c r="J79" s="14"/>
      <c r="K79" s="14"/>
      <c r="L79" s="14"/>
      <c r="M79" s="14"/>
      <c r="N79" s="14"/>
      <c r="O79" s="14"/>
      <c r="P79" s="14"/>
      <c r="Q79" s="14"/>
      <c r="R79" s="14"/>
      <c r="S79" s="14"/>
      <c r="T79" s="14"/>
      <c r="U79" s="14"/>
      <c r="V79" s="14"/>
    </row>
    <row r="80">
      <c r="A80" s="14"/>
      <c r="B80" s="14"/>
      <c r="C80" s="14"/>
      <c r="D80" s="14"/>
      <c r="E80" s="14"/>
      <c r="F80" s="14"/>
      <c r="G80" s="14"/>
      <c r="H80" s="14"/>
      <c r="I80" s="14"/>
      <c r="J80" s="14"/>
      <c r="K80" s="14"/>
      <c r="L80" s="14"/>
      <c r="M80" s="14"/>
      <c r="N80" s="14"/>
      <c r="O80" s="14"/>
      <c r="P80" s="14"/>
      <c r="Q80" s="14"/>
      <c r="R80" s="14"/>
      <c r="S80" s="14"/>
      <c r="T80" s="14"/>
      <c r="U80" s="14"/>
      <c r="V80" s="14"/>
    </row>
    <row r="81">
      <c r="A81" s="14"/>
      <c r="B81" s="14"/>
      <c r="C81" s="14"/>
      <c r="D81" s="14"/>
      <c r="E81" s="14"/>
      <c r="F81" s="14"/>
      <c r="G81" s="14"/>
      <c r="H81" s="14"/>
      <c r="I81" s="14"/>
      <c r="J81" s="14"/>
      <c r="K81" s="14"/>
      <c r="L81" s="14"/>
      <c r="M81" s="14"/>
      <c r="N81" s="14"/>
      <c r="O81" s="14"/>
      <c r="P81" s="14"/>
      <c r="Q81" s="14"/>
      <c r="R81" s="14"/>
      <c r="S81" s="14"/>
      <c r="T81" s="14"/>
      <c r="U81" s="14"/>
      <c r="V81" s="14"/>
    </row>
    <row r="82">
      <c r="A82" s="14"/>
      <c r="B82" s="14"/>
      <c r="C82" s="14"/>
      <c r="D82" s="14"/>
      <c r="E82" s="14"/>
      <c r="F82" s="14"/>
      <c r="G82" s="14"/>
      <c r="H82" s="14"/>
      <c r="I82" s="14"/>
      <c r="J82" s="14"/>
      <c r="K82" s="14"/>
      <c r="L82" s="14"/>
      <c r="M82" s="14"/>
      <c r="N82" s="14"/>
      <c r="O82" s="14"/>
      <c r="P82" s="14"/>
      <c r="Q82" s="14"/>
      <c r="R82" s="14"/>
      <c r="S82" s="14"/>
      <c r="T82" s="14"/>
      <c r="U82" s="14"/>
      <c r="V82" s="14"/>
    </row>
    <row r="83">
      <c r="A83" s="14"/>
      <c r="B83" s="14"/>
      <c r="C83" s="14"/>
      <c r="D83" s="14"/>
      <c r="E83" s="14"/>
      <c r="F83" s="14"/>
      <c r="G83" s="14"/>
      <c r="H83" s="14"/>
      <c r="I83" s="14"/>
      <c r="J83" s="14"/>
      <c r="K83" s="14"/>
      <c r="L83" s="14"/>
      <c r="M83" s="14"/>
      <c r="N83" s="14"/>
      <c r="O83" s="14"/>
      <c r="P83" s="14"/>
      <c r="Q83" s="14"/>
      <c r="R83" s="14"/>
      <c r="S83" s="14"/>
      <c r="T83" s="14"/>
      <c r="U83" s="14"/>
      <c r="V83" s="14"/>
    </row>
    <row r="84">
      <c r="A84" s="14"/>
      <c r="B84" s="14"/>
      <c r="C84" s="14"/>
      <c r="D84" s="14"/>
      <c r="E84" s="14"/>
      <c r="F84" s="14"/>
      <c r="G84" s="14"/>
      <c r="H84" s="14"/>
      <c r="I84" s="14"/>
      <c r="J84" s="14"/>
      <c r="K84" s="14"/>
      <c r="L84" s="14"/>
      <c r="M84" s="14"/>
      <c r="N84" s="14"/>
      <c r="O84" s="14"/>
      <c r="P84" s="14"/>
      <c r="Q84" s="14"/>
      <c r="R84" s="14"/>
      <c r="S84" s="14"/>
      <c r="T84" s="14"/>
      <c r="U84" s="14"/>
      <c r="V84" s="14"/>
    </row>
    <row r="85">
      <c r="A85" s="14"/>
      <c r="B85" s="14"/>
      <c r="C85" s="14"/>
      <c r="D85" s="14"/>
      <c r="E85" s="14"/>
      <c r="F85" s="14"/>
      <c r="G85" s="14"/>
      <c r="H85" s="14"/>
      <c r="I85" s="14"/>
      <c r="J85" s="14"/>
      <c r="K85" s="14"/>
      <c r="L85" s="14"/>
      <c r="M85" s="14"/>
      <c r="N85" s="14"/>
      <c r="O85" s="14"/>
      <c r="P85" s="14"/>
      <c r="Q85" s="14"/>
      <c r="R85" s="14"/>
      <c r="S85" s="14"/>
      <c r="T85" s="14"/>
      <c r="U85" s="14"/>
      <c r="V85" s="14"/>
    </row>
    <row r="86">
      <c r="A86" s="14"/>
      <c r="B86" s="14"/>
      <c r="C86" s="14"/>
      <c r="D86" s="14"/>
      <c r="E86" s="14"/>
      <c r="F86" s="14"/>
      <c r="G86" s="14"/>
      <c r="H86" s="14"/>
      <c r="I86" s="14"/>
      <c r="J86" s="14"/>
      <c r="K86" s="14"/>
      <c r="L86" s="14"/>
      <c r="M86" s="14"/>
      <c r="N86" s="14"/>
      <c r="O86" s="14"/>
      <c r="P86" s="14"/>
      <c r="Q86" s="14"/>
      <c r="R86" s="14"/>
      <c r="S86" s="14"/>
      <c r="T86" s="14"/>
      <c r="U86" s="14"/>
      <c r="V86" s="14"/>
    </row>
    <row r="87">
      <c r="A87" s="14"/>
      <c r="B87" s="14"/>
      <c r="C87" s="14"/>
      <c r="D87" s="14"/>
      <c r="E87" s="14"/>
      <c r="F87" s="14"/>
      <c r="G87" s="14"/>
      <c r="H87" s="14"/>
      <c r="I87" s="14"/>
      <c r="J87" s="14"/>
      <c r="K87" s="14"/>
      <c r="L87" s="14"/>
      <c r="M87" s="14"/>
      <c r="N87" s="14"/>
      <c r="O87" s="14"/>
      <c r="P87" s="14"/>
      <c r="Q87" s="14"/>
      <c r="R87" s="14"/>
      <c r="S87" s="14"/>
      <c r="T87" s="14"/>
      <c r="U87" s="14"/>
      <c r="V87" s="14"/>
    </row>
    <row r="88">
      <c r="A88" s="14"/>
      <c r="B88" s="14"/>
      <c r="C88" s="14"/>
      <c r="D88" s="14"/>
      <c r="E88" s="14"/>
      <c r="F88" s="14"/>
      <c r="G88" s="14"/>
      <c r="H88" s="14"/>
      <c r="I88" s="14"/>
      <c r="J88" s="14"/>
      <c r="K88" s="14"/>
      <c r="L88" s="14"/>
      <c r="M88" s="14"/>
      <c r="N88" s="14"/>
      <c r="O88" s="14"/>
      <c r="P88" s="14"/>
      <c r="Q88" s="14"/>
      <c r="R88" s="14"/>
      <c r="S88" s="14"/>
      <c r="T88" s="14"/>
      <c r="U88" s="14"/>
      <c r="V88" s="14"/>
    </row>
    <row r="89">
      <c r="A89" s="14"/>
      <c r="B89" s="14"/>
      <c r="C89" s="14"/>
      <c r="D89" s="14"/>
      <c r="E89" s="14"/>
      <c r="F89" s="14"/>
      <c r="G89" s="14"/>
      <c r="H89" s="14"/>
      <c r="I89" s="14"/>
      <c r="J89" s="14"/>
      <c r="K89" s="14"/>
      <c r="L89" s="14"/>
      <c r="M89" s="14"/>
      <c r="N89" s="14"/>
      <c r="O89" s="14"/>
      <c r="P89" s="14"/>
      <c r="Q89" s="14"/>
      <c r="R89" s="14"/>
      <c r="S89" s="14"/>
      <c r="T89" s="14"/>
      <c r="U89" s="14"/>
      <c r="V89" s="14"/>
    </row>
    <row r="90">
      <c r="A90" s="14"/>
      <c r="B90" s="14"/>
      <c r="C90" s="14"/>
      <c r="D90" s="14"/>
      <c r="E90" s="14"/>
      <c r="F90" s="14"/>
      <c r="G90" s="14"/>
      <c r="H90" s="14"/>
      <c r="I90" s="14"/>
      <c r="J90" s="14"/>
      <c r="K90" s="14"/>
      <c r="L90" s="14"/>
      <c r="M90" s="14"/>
      <c r="N90" s="14"/>
      <c r="O90" s="14"/>
      <c r="P90" s="14"/>
      <c r="Q90" s="14"/>
      <c r="R90" s="14"/>
      <c r="S90" s="14"/>
      <c r="T90" s="14"/>
      <c r="U90" s="14"/>
      <c r="V90" s="14"/>
    </row>
    <row r="91">
      <c r="A91" s="14"/>
      <c r="B91" s="14"/>
      <c r="C91" s="14"/>
      <c r="D91" s="14"/>
      <c r="E91" s="14"/>
      <c r="F91" s="14"/>
      <c r="G91" s="14"/>
      <c r="H91" s="14"/>
      <c r="I91" s="14"/>
      <c r="J91" s="14"/>
      <c r="K91" s="14"/>
      <c r="L91" s="14"/>
      <c r="M91" s="14"/>
      <c r="N91" s="14"/>
      <c r="O91" s="14"/>
      <c r="P91" s="14"/>
      <c r="Q91" s="14"/>
      <c r="R91" s="14"/>
      <c r="S91" s="14"/>
      <c r="T91" s="14"/>
      <c r="U91" s="14"/>
      <c r="V91" s="14"/>
    </row>
    <row r="92">
      <c r="A92" s="14"/>
      <c r="B92" s="14"/>
      <c r="C92" s="14"/>
      <c r="D92" s="14"/>
      <c r="E92" s="14"/>
      <c r="F92" s="14"/>
      <c r="G92" s="14"/>
      <c r="H92" s="14"/>
      <c r="I92" s="14"/>
      <c r="J92" s="14"/>
      <c r="K92" s="14"/>
      <c r="L92" s="14"/>
      <c r="M92" s="14"/>
      <c r="N92" s="14"/>
      <c r="O92" s="14"/>
      <c r="P92" s="14"/>
      <c r="Q92" s="14"/>
      <c r="R92" s="14"/>
      <c r="S92" s="14"/>
      <c r="T92" s="14"/>
      <c r="U92" s="14"/>
      <c r="V92" s="14"/>
    </row>
    <row r="93">
      <c r="A93" s="14"/>
      <c r="B93" s="14"/>
      <c r="C93" s="14"/>
      <c r="D93" s="14"/>
      <c r="E93" s="14"/>
      <c r="F93" s="14"/>
      <c r="G93" s="14"/>
      <c r="H93" s="14"/>
      <c r="I93" s="14"/>
      <c r="J93" s="14"/>
      <c r="K93" s="14"/>
      <c r="L93" s="14"/>
      <c r="M93" s="14"/>
      <c r="N93" s="14"/>
      <c r="O93" s="14"/>
      <c r="P93" s="14"/>
      <c r="Q93" s="14"/>
      <c r="R93" s="14"/>
      <c r="S93" s="14"/>
      <c r="T93" s="14"/>
      <c r="U93" s="14"/>
      <c r="V93" s="14"/>
    </row>
    <row r="94">
      <c r="A94" s="14"/>
      <c r="B94" s="14"/>
      <c r="C94" s="14"/>
      <c r="D94" s="14"/>
      <c r="E94" s="14"/>
      <c r="F94" s="14"/>
      <c r="G94" s="14"/>
      <c r="H94" s="14"/>
      <c r="I94" s="14"/>
      <c r="J94" s="14"/>
      <c r="K94" s="14"/>
      <c r="L94" s="14"/>
      <c r="M94" s="14"/>
      <c r="N94" s="14"/>
      <c r="O94" s="14"/>
      <c r="P94" s="14"/>
      <c r="Q94" s="14"/>
      <c r="R94" s="14"/>
      <c r="S94" s="14"/>
      <c r="T94" s="14"/>
      <c r="U94" s="14"/>
      <c r="V94" s="14"/>
    </row>
    <row r="95">
      <c r="A95" s="14"/>
      <c r="B95" s="14"/>
      <c r="C95" s="14"/>
      <c r="D95" s="14"/>
      <c r="E95" s="14"/>
      <c r="F95" s="14"/>
      <c r="G95" s="14"/>
      <c r="H95" s="14"/>
      <c r="I95" s="14"/>
      <c r="J95" s="14"/>
      <c r="K95" s="14"/>
      <c r="L95" s="14"/>
      <c r="M95" s="14"/>
      <c r="N95" s="14"/>
      <c r="O95" s="14"/>
      <c r="P95" s="14"/>
      <c r="Q95" s="14"/>
      <c r="R95" s="14"/>
      <c r="S95" s="14"/>
      <c r="T95" s="14"/>
      <c r="U95" s="14"/>
      <c r="V95" s="14"/>
    </row>
    <row r="96">
      <c r="A96" s="14"/>
      <c r="B96" s="14"/>
      <c r="C96" s="14"/>
      <c r="D96" s="14"/>
      <c r="E96" s="14"/>
      <c r="F96" s="14"/>
      <c r="G96" s="14"/>
      <c r="H96" s="14"/>
      <c r="I96" s="14"/>
      <c r="J96" s="14"/>
      <c r="K96" s="14"/>
      <c r="L96" s="14"/>
      <c r="M96" s="14"/>
      <c r="N96" s="14"/>
      <c r="O96" s="14"/>
      <c r="P96" s="14"/>
      <c r="Q96" s="14"/>
      <c r="R96" s="14"/>
      <c r="S96" s="14"/>
      <c r="T96" s="14"/>
      <c r="U96" s="14"/>
      <c r="V96" s="14"/>
    </row>
    <row r="97">
      <c r="A97" s="14"/>
      <c r="B97" s="14"/>
      <c r="C97" s="14"/>
      <c r="D97" s="14"/>
      <c r="E97" s="14"/>
      <c r="F97" s="14"/>
      <c r="G97" s="14"/>
      <c r="H97" s="14"/>
      <c r="I97" s="14"/>
      <c r="J97" s="14"/>
      <c r="K97" s="14"/>
      <c r="L97" s="14"/>
      <c r="M97" s="14"/>
      <c r="N97" s="14"/>
      <c r="O97" s="14"/>
      <c r="P97" s="14"/>
      <c r="Q97" s="14"/>
      <c r="R97" s="14"/>
      <c r="S97" s="14"/>
      <c r="T97" s="14"/>
      <c r="U97" s="14"/>
      <c r="V97" s="14"/>
    </row>
    <row r="98">
      <c r="A98" s="14"/>
      <c r="B98" s="14"/>
      <c r="C98" s="14"/>
      <c r="D98" s="14"/>
      <c r="E98" s="14"/>
      <c r="F98" s="14"/>
      <c r="G98" s="14"/>
      <c r="H98" s="14"/>
      <c r="I98" s="14"/>
      <c r="J98" s="14"/>
      <c r="K98" s="14"/>
      <c r="L98" s="14"/>
      <c r="M98" s="14"/>
      <c r="N98" s="14"/>
      <c r="O98" s="14"/>
      <c r="P98" s="14"/>
      <c r="Q98" s="14"/>
      <c r="R98" s="14"/>
      <c r="S98" s="14"/>
      <c r="T98" s="14"/>
      <c r="U98" s="14"/>
      <c r="V98" s="14"/>
    </row>
    <row r="99">
      <c r="A99" s="14"/>
      <c r="B99" s="14"/>
      <c r="C99" s="14"/>
      <c r="D99" s="14"/>
      <c r="E99" s="14"/>
      <c r="F99" s="14"/>
      <c r="G99" s="14"/>
      <c r="H99" s="14"/>
      <c r="I99" s="14"/>
      <c r="J99" s="14"/>
      <c r="K99" s="14"/>
      <c r="L99" s="14"/>
      <c r="M99" s="14"/>
      <c r="N99" s="14"/>
      <c r="O99" s="14"/>
      <c r="P99" s="14"/>
      <c r="Q99" s="14"/>
      <c r="R99" s="14"/>
      <c r="S99" s="14"/>
      <c r="T99" s="14"/>
      <c r="U99" s="14"/>
      <c r="V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28.38"/>
    <col customWidth="1" min="3" max="3" width="45.5"/>
    <col customWidth="1" min="4" max="4" width="44.38"/>
    <col customWidth="1" min="15" max="15" width="54.38"/>
  </cols>
  <sheetData>
    <row r="1">
      <c r="A1" s="17" t="s">
        <v>215</v>
      </c>
      <c r="B1" s="18" t="s">
        <v>216</v>
      </c>
      <c r="C1" s="19" t="s">
        <v>217</v>
      </c>
      <c r="D1" s="19" t="s">
        <v>218</v>
      </c>
      <c r="E1" s="19" t="s">
        <v>219</v>
      </c>
      <c r="F1" s="18" t="s">
        <v>220</v>
      </c>
      <c r="G1" s="18" t="s">
        <v>221</v>
      </c>
      <c r="H1" s="18" t="s">
        <v>222</v>
      </c>
      <c r="I1" s="17" t="s">
        <v>223</v>
      </c>
      <c r="J1" s="17" t="s">
        <v>224</v>
      </c>
      <c r="K1" s="18" t="s">
        <v>225</v>
      </c>
      <c r="L1" s="18" t="s">
        <v>226</v>
      </c>
      <c r="M1" s="18" t="s">
        <v>227</v>
      </c>
      <c r="N1" s="18" t="s">
        <v>228</v>
      </c>
      <c r="O1" s="18" t="s">
        <v>229</v>
      </c>
      <c r="P1" s="18"/>
      <c r="Q1" s="20"/>
      <c r="R1" s="20"/>
      <c r="S1" s="20"/>
      <c r="T1" s="20"/>
      <c r="U1" s="20"/>
      <c r="V1" s="20"/>
      <c r="W1" s="20"/>
      <c r="X1" s="20"/>
      <c r="Y1" s="20"/>
      <c r="Z1" s="20"/>
      <c r="AA1" s="20"/>
      <c r="AB1" s="20"/>
    </row>
    <row r="2">
      <c r="A2" s="21" t="s">
        <v>199</v>
      </c>
      <c r="B2" s="21" t="s">
        <v>13</v>
      </c>
      <c r="C2" s="21" t="s">
        <v>88</v>
      </c>
      <c r="D2" s="22" t="s">
        <v>230</v>
      </c>
      <c r="E2" s="21" t="s">
        <v>231</v>
      </c>
      <c r="F2" s="21" t="s">
        <v>185</v>
      </c>
      <c r="G2" s="21" t="s">
        <v>181</v>
      </c>
      <c r="H2" s="23" t="s">
        <v>194</v>
      </c>
      <c r="I2" s="24"/>
      <c r="J2" s="24">
        <v>46023.0</v>
      </c>
      <c r="K2" s="21" t="s">
        <v>177</v>
      </c>
      <c r="L2" s="25"/>
      <c r="M2" s="21" t="s">
        <v>232</v>
      </c>
      <c r="N2" s="26"/>
      <c r="O2" s="22" t="s">
        <v>233</v>
      </c>
      <c r="P2" s="27"/>
      <c r="Q2" s="28"/>
      <c r="R2" s="28"/>
      <c r="S2" s="28"/>
      <c r="T2" s="28"/>
      <c r="U2" s="28"/>
      <c r="V2" s="28"/>
      <c r="W2" s="28"/>
      <c r="X2" s="28"/>
      <c r="Y2" s="28"/>
      <c r="Z2" s="28"/>
      <c r="AA2" s="28"/>
      <c r="AB2" s="28"/>
    </row>
    <row r="3">
      <c r="A3" s="29" t="s">
        <v>188</v>
      </c>
      <c r="B3" s="29" t="s">
        <v>19</v>
      </c>
      <c r="C3" s="30" t="s">
        <v>234</v>
      </c>
      <c r="D3" s="31" t="s">
        <v>235</v>
      </c>
      <c r="E3" s="32"/>
      <c r="F3" s="29" t="s">
        <v>185</v>
      </c>
      <c r="G3" s="29" t="s">
        <v>186</v>
      </c>
      <c r="H3" s="30" t="s">
        <v>210</v>
      </c>
      <c r="I3" s="33"/>
      <c r="J3" s="33">
        <v>45996.0</v>
      </c>
      <c r="K3" s="29" t="s">
        <v>177</v>
      </c>
      <c r="L3" s="29" t="s">
        <v>201</v>
      </c>
      <c r="M3" s="29" t="s">
        <v>236</v>
      </c>
      <c r="N3" s="34"/>
      <c r="O3" s="31" t="s">
        <v>237</v>
      </c>
      <c r="P3" s="35" t="s">
        <v>238</v>
      </c>
      <c r="Q3" s="36"/>
      <c r="R3" s="36"/>
      <c r="S3" s="36"/>
      <c r="T3" s="36"/>
      <c r="U3" s="36"/>
      <c r="V3" s="36"/>
      <c r="W3" s="36"/>
      <c r="X3" s="36"/>
      <c r="Y3" s="36"/>
      <c r="Z3" s="36"/>
      <c r="AA3" s="36"/>
      <c r="AB3" s="36"/>
    </row>
    <row r="4">
      <c r="A4" s="29" t="s">
        <v>188</v>
      </c>
      <c r="B4" s="29" t="s">
        <v>19</v>
      </c>
      <c r="C4" s="29" t="s">
        <v>239</v>
      </c>
      <c r="D4" s="31" t="s">
        <v>240</v>
      </c>
      <c r="E4" s="32"/>
      <c r="F4" s="29" t="s">
        <v>180</v>
      </c>
      <c r="G4" s="29" t="s">
        <v>186</v>
      </c>
      <c r="H4" s="30" t="s">
        <v>210</v>
      </c>
      <c r="I4" s="33"/>
      <c r="J4" s="33">
        <v>46054.0</v>
      </c>
      <c r="K4" s="29" t="s">
        <v>177</v>
      </c>
      <c r="L4" s="29" t="s">
        <v>184</v>
      </c>
      <c r="M4" s="29" t="s">
        <v>9</v>
      </c>
      <c r="N4" s="34"/>
      <c r="O4" s="31" t="s">
        <v>241</v>
      </c>
      <c r="P4" s="37"/>
      <c r="Q4" s="36"/>
      <c r="R4" s="36"/>
      <c r="S4" s="36"/>
      <c r="T4" s="36"/>
      <c r="U4" s="36"/>
      <c r="V4" s="36"/>
      <c r="W4" s="36"/>
      <c r="X4" s="36"/>
      <c r="Y4" s="36"/>
      <c r="Z4" s="36"/>
      <c r="AA4" s="36"/>
      <c r="AB4" s="36"/>
    </row>
    <row r="5">
      <c r="A5" s="29" t="s">
        <v>196</v>
      </c>
      <c r="B5" s="32"/>
      <c r="C5" s="29" t="s">
        <v>161</v>
      </c>
      <c r="D5" s="29" t="s">
        <v>242</v>
      </c>
      <c r="E5" s="32"/>
      <c r="F5" s="29" t="s">
        <v>190</v>
      </c>
      <c r="G5" s="29" t="s">
        <v>181</v>
      </c>
      <c r="H5" s="30" t="s">
        <v>194</v>
      </c>
      <c r="I5" s="33"/>
      <c r="J5" s="33">
        <v>45972.0</v>
      </c>
      <c r="K5" s="29" t="s">
        <v>177</v>
      </c>
      <c r="L5" s="29" t="s">
        <v>243</v>
      </c>
      <c r="M5" s="29" t="s">
        <v>176</v>
      </c>
      <c r="N5" s="34"/>
      <c r="O5" s="31" t="s">
        <v>244</v>
      </c>
      <c r="P5" s="37"/>
      <c r="Q5" s="36"/>
      <c r="R5" s="36"/>
      <c r="S5" s="36"/>
      <c r="T5" s="36"/>
      <c r="U5" s="36"/>
      <c r="V5" s="36"/>
      <c r="W5" s="36"/>
      <c r="X5" s="36"/>
      <c r="Y5" s="36"/>
      <c r="Z5" s="36"/>
      <c r="AA5" s="36"/>
      <c r="AB5" s="36"/>
    </row>
    <row r="6">
      <c r="A6" s="29" t="s">
        <v>196</v>
      </c>
      <c r="B6" s="32"/>
      <c r="C6" s="29" t="s">
        <v>161</v>
      </c>
      <c r="D6" s="31" t="s">
        <v>245</v>
      </c>
      <c r="E6" s="32"/>
      <c r="F6" s="29" t="s">
        <v>190</v>
      </c>
      <c r="G6" s="29" t="s">
        <v>181</v>
      </c>
      <c r="H6" s="30" t="s">
        <v>194</v>
      </c>
      <c r="I6" s="33"/>
      <c r="J6" s="33">
        <v>45972.0</v>
      </c>
      <c r="K6" s="29" t="s">
        <v>177</v>
      </c>
      <c r="L6" s="29" t="s">
        <v>243</v>
      </c>
      <c r="M6" s="29" t="s">
        <v>176</v>
      </c>
      <c r="N6" s="34"/>
      <c r="O6" s="31" t="s">
        <v>244</v>
      </c>
      <c r="P6" s="37"/>
      <c r="Q6" s="36"/>
      <c r="R6" s="36"/>
      <c r="S6" s="36"/>
      <c r="T6" s="36"/>
      <c r="U6" s="36"/>
      <c r="V6" s="36"/>
      <c r="W6" s="36"/>
      <c r="X6" s="36"/>
      <c r="Y6" s="36"/>
      <c r="Z6" s="36"/>
      <c r="AA6" s="36"/>
      <c r="AB6" s="36"/>
    </row>
    <row r="7">
      <c r="A7" s="29" t="s">
        <v>196</v>
      </c>
      <c r="B7" s="32"/>
      <c r="C7" s="29" t="s">
        <v>246</v>
      </c>
      <c r="D7" s="31" t="s">
        <v>242</v>
      </c>
      <c r="E7" s="32"/>
      <c r="F7" s="29" t="s">
        <v>185</v>
      </c>
      <c r="G7" s="29" t="s">
        <v>175</v>
      </c>
      <c r="H7" s="30" t="s">
        <v>194</v>
      </c>
      <c r="I7" s="33"/>
      <c r="J7" s="33">
        <v>45998.0</v>
      </c>
      <c r="K7" s="29" t="s">
        <v>177</v>
      </c>
      <c r="L7" s="29" t="s">
        <v>207</v>
      </c>
      <c r="M7" s="29" t="s">
        <v>7</v>
      </c>
      <c r="N7" s="34"/>
      <c r="O7" s="31" t="s">
        <v>247</v>
      </c>
      <c r="P7" s="37"/>
      <c r="Q7" s="36"/>
      <c r="R7" s="36"/>
      <c r="S7" s="36"/>
      <c r="T7" s="36"/>
      <c r="U7" s="36"/>
      <c r="V7" s="36"/>
      <c r="W7" s="36"/>
      <c r="X7" s="36"/>
      <c r="Y7" s="36"/>
      <c r="Z7" s="36"/>
      <c r="AA7" s="36"/>
      <c r="AB7" s="36"/>
    </row>
    <row r="8">
      <c r="A8" s="29" t="s">
        <v>196</v>
      </c>
      <c r="B8" s="29"/>
      <c r="C8" s="29" t="s">
        <v>246</v>
      </c>
      <c r="D8" s="31" t="s">
        <v>245</v>
      </c>
      <c r="E8" s="32"/>
      <c r="F8" s="29"/>
      <c r="G8" s="29"/>
      <c r="H8" s="30"/>
      <c r="I8" s="33"/>
      <c r="J8" s="33"/>
      <c r="K8" s="29"/>
      <c r="L8" s="29"/>
      <c r="M8" s="29"/>
      <c r="N8" s="34"/>
      <c r="O8" s="31"/>
      <c r="P8" s="37"/>
      <c r="Q8" s="36"/>
      <c r="R8" s="36"/>
      <c r="S8" s="36"/>
      <c r="T8" s="36"/>
      <c r="U8" s="36"/>
      <c r="V8" s="36"/>
      <c r="W8" s="36"/>
      <c r="X8" s="36"/>
      <c r="Y8" s="36"/>
      <c r="Z8" s="36"/>
      <c r="AA8" s="36"/>
      <c r="AB8" s="36"/>
    </row>
    <row r="9">
      <c r="A9" s="21" t="s">
        <v>199</v>
      </c>
      <c r="B9" s="25" t="s">
        <v>13</v>
      </c>
      <c r="C9" s="21" t="s">
        <v>88</v>
      </c>
      <c r="D9" s="22" t="s">
        <v>248</v>
      </c>
      <c r="E9" s="21" t="s">
        <v>249</v>
      </c>
      <c r="F9" s="21" t="s">
        <v>185</v>
      </c>
      <c r="G9" s="21" t="s">
        <v>186</v>
      </c>
      <c r="H9" s="23" t="s">
        <v>201</v>
      </c>
      <c r="I9" s="24"/>
      <c r="J9" s="24">
        <v>46022.0</v>
      </c>
      <c r="K9" s="21" t="s">
        <v>177</v>
      </c>
      <c r="L9" s="21" t="s">
        <v>202</v>
      </c>
      <c r="M9" s="21" t="s">
        <v>1</v>
      </c>
      <c r="N9" s="26"/>
      <c r="O9" s="22" t="s">
        <v>250</v>
      </c>
      <c r="P9" s="27"/>
      <c r="Q9" s="28"/>
      <c r="R9" s="28"/>
      <c r="S9" s="28"/>
      <c r="T9" s="28"/>
      <c r="U9" s="28"/>
      <c r="V9" s="28"/>
      <c r="W9" s="28"/>
      <c r="X9" s="28"/>
      <c r="Y9" s="28"/>
      <c r="Z9" s="28"/>
      <c r="AA9" s="28"/>
      <c r="AB9" s="28"/>
    </row>
    <row r="10">
      <c r="A10" s="29"/>
      <c r="B10" s="29" t="s">
        <v>34</v>
      </c>
      <c r="C10" s="30" t="s">
        <v>251</v>
      </c>
      <c r="D10" s="31" t="s">
        <v>252</v>
      </c>
      <c r="E10" s="32"/>
      <c r="F10" s="29"/>
      <c r="G10" s="29"/>
      <c r="H10" s="30"/>
      <c r="I10" s="33"/>
      <c r="J10" s="33"/>
      <c r="K10" s="29"/>
      <c r="L10" s="29"/>
      <c r="M10" s="29"/>
      <c r="N10" s="34"/>
      <c r="O10" s="31"/>
      <c r="P10" s="37"/>
      <c r="Q10" s="36"/>
      <c r="R10" s="36"/>
      <c r="S10" s="36"/>
      <c r="T10" s="36"/>
      <c r="U10" s="36"/>
      <c r="V10" s="36"/>
      <c r="W10" s="36"/>
      <c r="X10" s="36"/>
      <c r="Y10" s="36"/>
      <c r="Z10" s="36"/>
      <c r="AA10" s="36"/>
      <c r="AB10" s="36"/>
    </row>
    <row r="11">
      <c r="A11" s="29"/>
      <c r="B11" s="29" t="s">
        <v>34</v>
      </c>
      <c r="C11" s="30" t="s">
        <v>251</v>
      </c>
      <c r="D11" s="31" t="s">
        <v>253</v>
      </c>
      <c r="E11" s="32"/>
      <c r="F11" s="29"/>
      <c r="G11" s="29"/>
      <c r="H11" s="30"/>
      <c r="I11" s="33"/>
      <c r="J11" s="33"/>
      <c r="K11" s="29"/>
      <c r="L11" s="29"/>
      <c r="M11" s="29"/>
      <c r="N11" s="34"/>
      <c r="O11" s="31"/>
      <c r="P11" s="37"/>
      <c r="Q11" s="36"/>
      <c r="R11" s="36"/>
      <c r="S11" s="36"/>
      <c r="T11" s="36"/>
      <c r="U11" s="36"/>
      <c r="V11" s="36"/>
      <c r="W11" s="36"/>
      <c r="X11" s="36"/>
      <c r="Y11" s="36"/>
      <c r="Z11" s="36"/>
      <c r="AA11" s="36"/>
      <c r="AB11" s="36"/>
    </row>
    <row r="12">
      <c r="A12" s="21"/>
      <c r="B12" s="21" t="s">
        <v>34</v>
      </c>
      <c r="C12" s="23" t="s">
        <v>251</v>
      </c>
      <c r="D12" s="22" t="s">
        <v>254</v>
      </c>
      <c r="E12" s="21" t="s">
        <v>255</v>
      </c>
      <c r="F12" s="21"/>
      <c r="G12" s="21"/>
      <c r="H12" s="23" t="s">
        <v>256</v>
      </c>
      <c r="I12" s="24"/>
      <c r="J12" s="24"/>
      <c r="K12" s="21"/>
      <c r="L12" s="21"/>
      <c r="M12" s="21"/>
      <c r="N12" s="26"/>
      <c r="O12" s="22"/>
      <c r="P12" s="27"/>
      <c r="Q12" s="28"/>
      <c r="R12" s="28"/>
      <c r="S12" s="28"/>
      <c r="T12" s="28"/>
      <c r="U12" s="28"/>
      <c r="V12" s="28"/>
      <c r="W12" s="28"/>
      <c r="X12" s="28"/>
      <c r="Y12" s="28"/>
      <c r="Z12" s="28"/>
      <c r="AA12" s="28"/>
      <c r="AB12" s="28"/>
    </row>
    <row r="13">
      <c r="A13" s="29" t="s">
        <v>199</v>
      </c>
      <c r="B13" s="29" t="s">
        <v>34</v>
      </c>
      <c r="C13" s="30" t="s">
        <v>257</v>
      </c>
      <c r="D13" s="31" t="s">
        <v>258</v>
      </c>
      <c r="E13" s="32"/>
      <c r="F13" s="29" t="s">
        <v>185</v>
      </c>
      <c r="G13" s="29" t="s">
        <v>186</v>
      </c>
      <c r="H13" s="30" t="s">
        <v>201</v>
      </c>
      <c r="I13" s="33"/>
      <c r="J13" s="33">
        <v>45991.0</v>
      </c>
      <c r="K13" s="29" t="s">
        <v>177</v>
      </c>
      <c r="L13" s="29" t="s">
        <v>202</v>
      </c>
      <c r="M13" s="29" t="s">
        <v>259</v>
      </c>
      <c r="N13" s="34"/>
      <c r="O13" s="31" t="s">
        <v>260</v>
      </c>
      <c r="P13" s="37"/>
      <c r="Q13" s="36"/>
      <c r="R13" s="36"/>
      <c r="S13" s="36"/>
      <c r="T13" s="36"/>
      <c r="U13" s="36"/>
      <c r="V13" s="36"/>
      <c r="W13" s="36"/>
      <c r="X13" s="36"/>
      <c r="Y13" s="36"/>
      <c r="Z13" s="36"/>
      <c r="AA13" s="36"/>
      <c r="AB13" s="36"/>
    </row>
    <row r="14">
      <c r="A14" s="29" t="s">
        <v>199</v>
      </c>
      <c r="B14" s="29" t="s">
        <v>49</v>
      </c>
      <c r="C14" s="30" t="s">
        <v>261</v>
      </c>
      <c r="D14" s="31" t="s">
        <v>262</v>
      </c>
      <c r="E14" s="32"/>
      <c r="F14" s="29"/>
      <c r="G14" s="29"/>
      <c r="H14" s="30"/>
      <c r="I14" s="33"/>
      <c r="J14" s="33"/>
      <c r="K14" s="29"/>
      <c r="L14" s="29"/>
      <c r="M14" s="29"/>
      <c r="N14" s="34"/>
      <c r="O14" s="31"/>
      <c r="P14" s="37"/>
      <c r="Q14" s="36"/>
      <c r="R14" s="36"/>
      <c r="S14" s="36"/>
      <c r="T14" s="36"/>
      <c r="U14" s="36"/>
      <c r="V14" s="36"/>
      <c r="W14" s="36"/>
      <c r="X14" s="36"/>
      <c r="Y14" s="36"/>
      <c r="Z14" s="36"/>
      <c r="AA14" s="36"/>
      <c r="AB14" s="36"/>
    </row>
    <row r="15">
      <c r="A15" s="29" t="s">
        <v>199</v>
      </c>
      <c r="B15" s="29" t="s">
        <v>49</v>
      </c>
      <c r="C15" s="30" t="s">
        <v>263</v>
      </c>
      <c r="D15" s="31" t="s">
        <v>264</v>
      </c>
      <c r="E15" s="32"/>
      <c r="F15" s="29" t="s">
        <v>185</v>
      </c>
      <c r="G15" s="29" t="s">
        <v>186</v>
      </c>
      <c r="H15" s="30" t="s">
        <v>210</v>
      </c>
      <c r="I15" s="33"/>
      <c r="J15" s="33">
        <v>46006.0</v>
      </c>
      <c r="K15" s="29" t="s">
        <v>177</v>
      </c>
      <c r="L15" s="29" t="s">
        <v>194</v>
      </c>
      <c r="M15" s="29" t="s">
        <v>265</v>
      </c>
      <c r="N15" s="34"/>
      <c r="O15" s="31" t="s">
        <v>266</v>
      </c>
      <c r="P15" s="37"/>
      <c r="Q15" s="36"/>
      <c r="R15" s="36"/>
      <c r="S15" s="36"/>
      <c r="T15" s="36"/>
      <c r="U15" s="36"/>
      <c r="V15" s="36"/>
      <c r="W15" s="36"/>
      <c r="X15" s="36"/>
      <c r="Y15" s="36"/>
      <c r="Z15" s="36"/>
      <c r="AA15" s="36"/>
      <c r="AB15" s="36"/>
    </row>
    <row r="16">
      <c r="A16" s="29" t="s">
        <v>199</v>
      </c>
      <c r="B16" s="29" t="s">
        <v>49</v>
      </c>
      <c r="C16" s="30" t="s">
        <v>263</v>
      </c>
      <c r="D16" s="31" t="s">
        <v>267</v>
      </c>
      <c r="E16" s="32"/>
      <c r="F16" s="29" t="s">
        <v>185</v>
      </c>
      <c r="G16" s="29" t="s">
        <v>186</v>
      </c>
      <c r="H16" s="30" t="s">
        <v>210</v>
      </c>
      <c r="I16" s="33"/>
      <c r="J16" s="33">
        <v>46006.0</v>
      </c>
      <c r="K16" s="29" t="s">
        <v>177</v>
      </c>
      <c r="L16" s="29" t="s">
        <v>194</v>
      </c>
      <c r="M16" s="29" t="s">
        <v>265</v>
      </c>
      <c r="N16" s="34"/>
      <c r="O16" s="31" t="s">
        <v>266</v>
      </c>
      <c r="P16" s="37"/>
      <c r="Q16" s="36"/>
      <c r="R16" s="36"/>
      <c r="S16" s="36"/>
      <c r="T16" s="36"/>
      <c r="U16" s="36"/>
      <c r="V16" s="36"/>
      <c r="W16" s="36"/>
      <c r="X16" s="36"/>
      <c r="Y16" s="36"/>
      <c r="Z16" s="36"/>
      <c r="AA16" s="36"/>
      <c r="AB16" s="36"/>
    </row>
    <row r="17">
      <c r="A17" s="29" t="s">
        <v>178</v>
      </c>
      <c r="B17" s="29" t="s">
        <v>34</v>
      </c>
      <c r="C17" s="30" t="s">
        <v>268</v>
      </c>
      <c r="D17" s="31" t="s">
        <v>269</v>
      </c>
      <c r="E17" s="32"/>
      <c r="F17" s="29" t="s">
        <v>180</v>
      </c>
      <c r="G17" s="29" t="s">
        <v>186</v>
      </c>
      <c r="H17" s="30" t="s">
        <v>210</v>
      </c>
      <c r="I17" s="33"/>
      <c r="J17" s="33">
        <v>46006.0</v>
      </c>
      <c r="K17" s="29" t="s">
        <v>177</v>
      </c>
      <c r="L17" s="32"/>
      <c r="M17" s="29" t="s">
        <v>7</v>
      </c>
      <c r="N17" s="34"/>
      <c r="O17" s="38"/>
      <c r="P17" s="37"/>
      <c r="Q17" s="36"/>
      <c r="R17" s="36"/>
      <c r="S17" s="36"/>
      <c r="T17" s="36"/>
      <c r="U17" s="36"/>
      <c r="V17" s="36"/>
      <c r="W17" s="36"/>
      <c r="X17" s="36"/>
      <c r="Y17" s="36"/>
      <c r="Z17" s="36"/>
      <c r="AA17" s="36"/>
      <c r="AB17" s="36"/>
    </row>
    <row r="18">
      <c r="A18" s="29" t="s">
        <v>199</v>
      </c>
      <c r="B18" s="29" t="s">
        <v>34</v>
      </c>
      <c r="C18" s="30" t="s">
        <v>270</v>
      </c>
      <c r="D18" s="31" t="s">
        <v>271</v>
      </c>
      <c r="E18" s="32"/>
      <c r="F18" s="29" t="s">
        <v>180</v>
      </c>
      <c r="G18" s="29" t="s">
        <v>186</v>
      </c>
      <c r="H18" s="30" t="s">
        <v>201</v>
      </c>
      <c r="I18" s="33"/>
      <c r="J18" s="33">
        <v>46006.0</v>
      </c>
      <c r="K18" s="29" t="s">
        <v>177</v>
      </c>
      <c r="L18" s="29" t="s">
        <v>202</v>
      </c>
      <c r="M18" s="32"/>
      <c r="N18" s="34"/>
      <c r="O18" s="38"/>
      <c r="P18" s="37"/>
      <c r="Q18" s="36"/>
      <c r="R18" s="36"/>
      <c r="S18" s="36"/>
      <c r="T18" s="36"/>
      <c r="U18" s="36"/>
      <c r="V18" s="36"/>
      <c r="W18" s="36"/>
      <c r="X18" s="36"/>
      <c r="Y18" s="36"/>
      <c r="Z18" s="36"/>
      <c r="AA18" s="36"/>
      <c r="AB18" s="36"/>
    </row>
    <row r="19">
      <c r="A19" s="29" t="s">
        <v>188</v>
      </c>
      <c r="B19" s="29" t="s">
        <v>19</v>
      </c>
      <c r="C19" s="30" t="s">
        <v>118</v>
      </c>
      <c r="D19" s="31" t="s">
        <v>272</v>
      </c>
      <c r="E19" s="32"/>
      <c r="F19" s="29" t="s">
        <v>174</v>
      </c>
      <c r="G19" s="29" t="s">
        <v>186</v>
      </c>
      <c r="H19" s="30" t="s">
        <v>194</v>
      </c>
      <c r="I19" s="33"/>
      <c r="J19" s="33">
        <v>46015.0</v>
      </c>
      <c r="K19" s="29" t="s">
        <v>177</v>
      </c>
      <c r="L19" s="29" t="s">
        <v>210</v>
      </c>
      <c r="M19" s="29" t="s">
        <v>7</v>
      </c>
      <c r="N19" s="34"/>
      <c r="O19" s="31" t="s">
        <v>273</v>
      </c>
      <c r="P19" s="37"/>
      <c r="Q19" s="36"/>
      <c r="R19" s="36"/>
      <c r="S19" s="36"/>
      <c r="T19" s="36"/>
      <c r="U19" s="36"/>
      <c r="V19" s="36"/>
      <c r="W19" s="36"/>
      <c r="X19" s="36"/>
      <c r="Y19" s="36"/>
      <c r="Z19" s="36"/>
      <c r="AA19" s="36"/>
      <c r="AB19" s="36"/>
    </row>
    <row r="20" ht="30.75" customHeight="1">
      <c r="A20" s="29" t="s">
        <v>188</v>
      </c>
      <c r="B20" s="29" t="s">
        <v>19</v>
      </c>
      <c r="C20" s="30" t="s">
        <v>137</v>
      </c>
      <c r="D20" s="31" t="s">
        <v>274</v>
      </c>
      <c r="E20" s="32"/>
      <c r="F20" s="29"/>
      <c r="G20" s="29"/>
      <c r="H20" s="30"/>
      <c r="I20" s="33"/>
      <c r="J20" s="33"/>
      <c r="K20" s="29"/>
      <c r="L20" s="29"/>
      <c r="M20" s="29"/>
      <c r="N20" s="34"/>
      <c r="O20" s="31"/>
      <c r="P20" s="37"/>
      <c r="Q20" s="36"/>
      <c r="R20" s="36"/>
      <c r="S20" s="36"/>
      <c r="T20" s="36"/>
      <c r="U20" s="36"/>
      <c r="V20" s="36"/>
      <c r="W20" s="36"/>
      <c r="X20" s="36"/>
      <c r="Y20" s="36"/>
      <c r="Z20" s="36"/>
      <c r="AA20" s="36"/>
      <c r="AB20" s="36"/>
    </row>
    <row r="21">
      <c r="A21" s="29" t="s">
        <v>199</v>
      </c>
      <c r="B21" s="29" t="s">
        <v>49</v>
      </c>
      <c r="C21" s="30" t="s">
        <v>275</v>
      </c>
      <c r="D21" s="31" t="s">
        <v>276</v>
      </c>
      <c r="E21" s="32"/>
      <c r="F21" s="29" t="s">
        <v>185</v>
      </c>
      <c r="G21" s="29" t="s">
        <v>186</v>
      </c>
      <c r="H21" s="30" t="s">
        <v>202</v>
      </c>
      <c r="I21" s="33"/>
      <c r="J21" s="33">
        <v>46006.0</v>
      </c>
      <c r="K21" s="29" t="s">
        <v>177</v>
      </c>
      <c r="L21" s="32"/>
      <c r="M21" s="32"/>
      <c r="N21" s="34"/>
      <c r="O21" s="31" t="s">
        <v>277</v>
      </c>
      <c r="P21" s="37"/>
      <c r="Q21" s="36"/>
      <c r="R21" s="36"/>
      <c r="S21" s="36"/>
      <c r="T21" s="36"/>
      <c r="U21" s="36"/>
      <c r="V21" s="36"/>
      <c r="W21" s="36"/>
      <c r="X21" s="36"/>
      <c r="Y21" s="36"/>
      <c r="Z21" s="36"/>
      <c r="AA21" s="36"/>
      <c r="AB21" s="36"/>
    </row>
    <row r="22">
      <c r="A22" s="29" t="s">
        <v>199</v>
      </c>
      <c r="B22" s="29" t="s">
        <v>49</v>
      </c>
      <c r="C22" s="30" t="s">
        <v>278</v>
      </c>
      <c r="D22" s="31" t="s">
        <v>279</v>
      </c>
      <c r="E22" s="32"/>
      <c r="F22" s="29" t="s">
        <v>185</v>
      </c>
      <c r="G22" s="29" t="s">
        <v>186</v>
      </c>
      <c r="H22" s="30" t="s">
        <v>202</v>
      </c>
      <c r="I22" s="33"/>
      <c r="J22" s="33">
        <v>46015.0</v>
      </c>
      <c r="K22" s="29" t="s">
        <v>177</v>
      </c>
      <c r="L22" s="29" t="s">
        <v>201</v>
      </c>
      <c r="M22" s="29" t="s">
        <v>265</v>
      </c>
      <c r="N22" s="34"/>
      <c r="O22" s="31" t="s">
        <v>280</v>
      </c>
      <c r="P22" s="37"/>
      <c r="Q22" s="36"/>
      <c r="R22" s="36"/>
      <c r="S22" s="36"/>
      <c r="T22" s="36"/>
      <c r="U22" s="36"/>
      <c r="V22" s="36"/>
      <c r="W22" s="36"/>
      <c r="X22" s="36"/>
      <c r="Y22" s="36"/>
      <c r="Z22" s="36"/>
      <c r="AA22" s="36"/>
      <c r="AB22" s="36"/>
    </row>
    <row r="23">
      <c r="A23" s="29" t="s">
        <v>199</v>
      </c>
      <c r="B23" s="29" t="s">
        <v>34</v>
      </c>
      <c r="C23" s="30" t="s">
        <v>257</v>
      </c>
      <c r="D23" s="31" t="s">
        <v>281</v>
      </c>
      <c r="E23" s="32"/>
      <c r="F23" s="29"/>
      <c r="G23" s="29"/>
      <c r="H23" s="30"/>
      <c r="I23" s="33"/>
      <c r="J23" s="33"/>
      <c r="K23" s="29"/>
      <c r="L23" s="29"/>
      <c r="M23" s="29"/>
      <c r="N23" s="34"/>
      <c r="O23" s="31"/>
      <c r="P23" s="37"/>
      <c r="Q23" s="36"/>
      <c r="R23" s="36"/>
      <c r="S23" s="36"/>
      <c r="T23" s="36"/>
      <c r="U23" s="36"/>
      <c r="V23" s="36"/>
      <c r="W23" s="36"/>
      <c r="X23" s="36"/>
      <c r="Y23" s="36"/>
      <c r="Z23" s="36"/>
      <c r="AA23" s="36"/>
      <c r="AB23" s="36"/>
    </row>
    <row r="24">
      <c r="A24" s="29" t="s">
        <v>199</v>
      </c>
      <c r="B24" s="29" t="s">
        <v>26</v>
      </c>
      <c r="C24" s="30" t="s">
        <v>12</v>
      </c>
      <c r="D24" s="31" t="s">
        <v>282</v>
      </c>
      <c r="E24" s="32"/>
      <c r="F24" s="29" t="s">
        <v>180</v>
      </c>
      <c r="G24" s="29" t="s">
        <v>175</v>
      </c>
      <c r="H24" s="30" t="s">
        <v>194</v>
      </c>
      <c r="I24" s="39"/>
      <c r="J24" s="39"/>
      <c r="K24" s="29" t="s">
        <v>182</v>
      </c>
      <c r="L24" s="32"/>
      <c r="M24" s="29" t="s">
        <v>2</v>
      </c>
      <c r="N24" s="34"/>
      <c r="O24" s="31" t="s">
        <v>283</v>
      </c>
      <c r="P24" s="37"/>
      <c r="Q24" s="36"/>
      <c r="R24" s="36"/>
      <c r="S24" s="36"/>
      <c r="T24" s="36"/>
      <c r="U24" s="36"/>
      <c r="V24" s="36"/>
      <c r="W24" s="36"/>
      <c r="X24" s="36"/>
      <c r="Y24" s="36"/>
      <c r="Z24" s="36"/>
      <c r="AA24" s="36"/>
      <c r="AB24" s="36"/>
    </row>
    <row r="25">
      <c r="A25" s="29" t="s">
        <v>196</v>
      </c>
      <c r="B25" s="29" t="s">
        <v>19</v>
      </c>
      <c r="C25" s="30" t="s">
        <v>163</v>
      </c>
      <c r="D25" s="31" t="s">
        <v>284</v>
      </c>
      <c r="E25" s="32"/>
      <c r="F25" s="29" t="s">
        <v>174</v>
      </c>
      <c r="G25" s="29" t="s">
        <v>186</v>
      </c>
      <c r="H25" s="30" t="s">
        <v>210</v>
      </c>
      <c r="I25" s="33"/>
      <c r="J25" s="33">
        <v>46040.0</v>
      </c>
      <c r="K25" s="29" t="s">
        <v>182</v>
      </c>
      <c r="L25" s="29" t="s">
        <v>194</v>
      </c>
      <c r="M25" s="29" t="s">
        <v>7</v>
      </c>
      <c r="N25" s="34"/>
      <c r="O25" s="40" t="s">
        <v>285</v>
      </c>
      <c r="P25" s="37"/>
      <c r="Q25" s="36"/>
      <c r="R25" s="36"/>
      <c r="S25" s="36"/>
      <c r="T25" s="36"/>
      <c r="U25" s="36"/>
      <c r="V25" s="36"/>
      <c r="W25" s="36"/>
      <c r="X25" s="36"/>
      <c r="Y25" s="36"/>
      <c r="Z25" s="36"/>
      <c r="AA25" s="36"/>
      <c r="AB25" s="36"/>
    </row>
    <row r="26">
      <c r="A26" s="29" t="s">
        <v>188</v>
      </c>
      <c r="B26" s="29" t="s">
        <v>19</v>
      </c>
      <c r="C26" s="30" t="s">
        <v>286</v>
      </c>
      <c r="D26" s="31" t="s">
        <v>287</v>
      </c>
      <c r="E26" s="32"/>
      <c r="F26" s="29" t="s">
        <v>174</v>
      </c>
      <c r="G26" s="29" t="s">
        <v>186</v>
      </c>
      <c r="H26" s="30" t="s">
        <v>210</v>
      </c>
      <c r="I26" s="33"/>
      <c r="J26" s="33">
        <v>46040.0</v>
      </c>
      <c r="K26" s="29" t="s">
        <v>182</v>
      </c>
      <c r="L26" s="29" t="s">
        <v>194</v>
      </c>
      <c r="M26" s="29" t="s">
        <v>7</v>
      </c>
      <c r="N26" s="34"/>
      <c r="O26" s="40" t="s">
        <v>285</v>
      </c>
      <c r="P26" s="37"/>
      <c r="Q26" s="36"/>
      <c r="R26" s="36"/>
      <c r="S26" s="36"/>
      <c r="T26" s="36"/>
      <c r="U26" s="36"/>
      <c r="V26" s="36"/>
      <c r="W26" s="36"/>
      <c r="X26" s="36"/>
      <c r="Y26" s="36"/>
      <c r="Z26" s="36"/>
      <c r="AA26" s="36"/>
      <c r="AB26" s="36"/>
    </row>
    <row r="27">
      <c r="A27" s="41" t="s">
        <v>188</v>
      </c>
      <c r="B27" s="41" t="s">
        <v>19</v>
      </c>
      <c r="C27" s="42" t="s">
        <v>288</v>
      </c>
      <c r="D27" s="43" t="s">
        <v>289</v>
      </c>
      <c r="E27" s="44"/>
      <c r="F27" s="41" t="s">
        <v>174</v>
      </c>
      <c r="G27" s="41" t="s">
        <v>181</v>
      </c>
      <c r="H27" s="42" t="s">
        <v>202</v>
      </c>
      <c r="I27" s="45"/>
      <c r="J27" s="45"/>
      <c r="K27" s="41" t="s">
        <v>182</v>
      </c>
      <c r="L27" s="41" t="s">
        <v>201</v>
      </c>
      <c r="M27" s="41" t="s">
        <v>1</v>
      </c>
      <c r="N27" s="46"/>
      <c r="O27" s="43" t="s">
        <v>290</v>
      </c>
      <c r="P27" s="47"/>
      <c r="Q27" s="48"/>
      <c r="R27" s="48"/>
      <c r="S27" s="48"/>
      <c r="T27" s="48"/>
      <c r="U27" s="48"/>
      <c r="V27" s="48"/>
      <c r="W27" s="48"/>
      <c r="X27" s="48"/>
      <c r="Y27" s="48"/>
      <c r="Z27" s="48"/>
      <c r="AA27" s="48"/>
      <c r="AB27" s="48"/>
    </row>
    <row r="28">
      <c r="A28" s="41" t="s">
        <v>188</v>
      </c>
      <c r="B28" s="41" t="s">
        <v>19</v>
      </c>
      <c r="C28" s="42" t="s">
        <v>288</v>
      </c>
      <c r="D28" s="43" t="s">
        <v>291</v>
      </c>
      <c r="E28" s="44"/>
      <c r="F28" s="41"/>
      <c r="G28" s="41"/>
      <c r="H28" s="42"/>
      <c r="I28" s="45"/>
      <c r="J28" s="45"/>
      <c r="K28" s="41"/>
      <c r="L28" s="41"/>
      <c r="M28" s="41"/>
      <c r="N28" s="46"/>
      <c r="O28" s="43"/>
      <c r="P28" s="47"/>
      <c r="Q28" s="48"/>
      <c r="R28" s="48"/>
      <c r="S28" s="48"/>
      <c r="T28" s="48"/>
      <c r="U28" s="48"/>
      <c r="V28" s="48"/>
      <c r="W28" s="48"/>
      <c r="X28" s="48"/>
      <c r="Y28" s="48"/>
      <c r="Z28" s="48"/>
      <c r="AA28" s="48"/>
      <c r="AB28" s="48"/>
    </row>
    <row r="29">
      <c r="A29" s="41" t="s">
        <v>188</v>
      </c>
      <c r="B29" s="41" t="s">
        <v>19</v>
      </c>
      <c r="C29" s="42" t="s">
        <v>288</v>
      </c>
      <c r="D29" s="43" t="s">
        <v>292</v>
      </c>
      <c r="E29" s="44"/>
      <c r="F29" s="41"/>
      <c r="G29" s="41"/>
      <c r="H29" s="42"/>
      <c r="I29" s="45"/>
      <c r="J29" s="45"/>
      <c r="K29" s="41"/>
      <c r="L29" s="41"/>
      <c r="M29" s="41"/>
      <c r="N29" s="46"/>
      <c r="O29" s="43"/>
      <c r="P29" s="47"/>
      <c r="Q29" s="48"/>
      <c r="R29" s="48"/>
      <c r="S29" s="48"/>
      <c r="T29" s="48"/>
      <c r="U29" s="48"/>
      <c r="V29" s="48"/>
      <c r="W29" s="48"/>
      <c r="X29" s="48"/>
      <c r="Y29" s="48"/>
      <c r="Z29" s="48"/>
      <c r="AA29" s="48"/>
      <c r="AB29" s="48"/>
    </row>
    <row r="30">
      <c r="A30" s="41" t="s">
        <v>188</v>
      </c>
      <c r="B30" s="41" t="s">
        <v>19</v>
      </c>
      <c r="C30" s="42" t="s">
        <v>288</v>
      </c>
      <c r="D30" s="43" t="s">
        <v>293</v>
      </c>
      <c r="E30" s="44"/>
      <c r="F30" s="41"/>
      <c r="G30" s="41"/>
      <c r="H30" s="42"/>
      <c r="I30" s="45"/>
      <c r="J30" s="45"/>
      <c r="K30" s="41"/>
      <c r="L30" s="41"/>
      <c r="M30" s="41"/>
      <c r="N30" s="46"/>
      <c r="O30" s="43"/>
      <c r="P30" s="47"/>
      <c r="Q30" s="48"/>
      <c r="R30" s="48"/>
      <c r="S30" s="48"/>
      <c r="T30" s="48"/>
      <c r="U30" s="48"/>
      <c r="V30" s="48"/>
      <c r="W30" s="48"/>
      <c r="X30" s="48"/>
      <c r="Y30" s="48"/>
      <c r="Z30" s="48"/>
      <c r="AA30" s="48"/>
      <c r="AB30" s="48"/>
    </row>
    <row r="31">
      <c r="A31" s="29" t="s">
        <v>188</v>
      </c>
      <c r="B31" s="29" t="s">
        <v>19</v>
      </c>
      <c r="C31" s="30" t="s">
        <v>294</v>
      </c>
      <c r="D31" s="31" t="s">
        <v>295</v>
      </c>
      <c r="E31" s="32"/>
      <c r="F31" s="29" t="s">
        <v>180</v>
      </c>
      <c r="G31" s="29" t="s">
        <v>191</v>
      </c>
      <c r="H31" s="30" t="s">
        <v>210</v>
      </c>
      <c r="I31" s="33"/>
      <c r="J31" s="33">
        <v>46023.0</v>
      </c>
      <c r="K31" s="29" t="s">
        <v>182</v>
      </c>
      <c r="L31" s="32"/>
      <c r="M31" s="32"/>
      <c r="N31" s="34"/>
      <c r="O31" s="31" t="s">
        <v>296</v>
      </c>
      <c r="P31" s="37"/>
      <c r="Q31" s="36"/>
      <c r="R31" s="36"/>
      <c r="S31" s="36"/>
      <c r="T31" s="36"/>
      <c r="U31" s="36"/>
      <c r="V31" s="36"/>
      <c r="W31" s="36"/>
      <c r="X31" s="36"/>
      <c r="Y31" s="36"/>
      <c r="Z31" s="36"/>
      <c r="AA31" s="36"/>
      <c r="AB31" s="36"/>
    </row>
    <row r="32">
      <c r="A32" s="29" t="s">
        <v>188</v>
      </c>
      <c r="B32" s="29" t="s">
        <v>19</v>
      </c>
      <c r="C32" s="30" t="s">
        <v>294</v>
      </c>
      <c r="D32" s="31" t="s">
        <v>297</v>
      </c>
      <c r="E32" s="32"/>
      <c r="F32" s="29"/>
      <c r="G32" s="29"/>
      <c r="H32" s="30"/>
      <c r="I32" s="33"/>
      <c r="J32" s="33"/>
      <c r="K32" s="29"/>
      <c r="L32" s="32"/>
      <c r="M32" s="32"/>
      <c r="N32" s="34"/>
      <c r="O32" s="31"/>
      <c r="P32" s="37"/>
      <c r="Q32" s="36"/>
      <c r="R32" s="36"/>
      <c r="S32" s="36"/>
      <c r="T32" s="36"/>
      <c r="U32" s="36"/>
      <c r="V32" s="36"/>
      <c r="W32" s="36"/>
      <c r="X32" s="36"/>
      <c r="Y32" s="36"/>
      <c r="Z32" s="36"/>
      <c r="AA32" s="36"/>
      <c r="AB32" s="36"/>
    </row>
    <row r="33">
      <c r="A33" s="29" t="s">
        <v>188</v>
      </c>
      <c r="B33" s="29" t="s">
        <v>19</v>
      </c>
      <c r="C33" s="30" t="s">
        <v>294</v>
      </c>
      <c r="D33" s="31" t="s">
        <v>298</v>
      </c>
      <c r="E33" s="32"/>
      <c r="F33" s="29"/>
      <c r="G33" s="29"/>
      <c r="H33" s="30"/>
      <c r="I33" s="33"/>
      <c r="J33" s="33"/>
      <c r="K33" s="29"/>
      <c r="L33" s="32"/>
      <c r="M33" s="32"/>
      <c r="N33" s="34"/>
      <c r="O33" s="31"/>
      <c r="P33" s="37"/>
      <c r="Q33" s="36"/>
      <c r="R33" s="36"/>
      <c r="S33" s="36"/>
      <c r="T33" s="36"/>
      <c r="U33" s="36"/>
      <c r="V33" s="36"/>
      <c r="W33" s="36"/>
      <c r="X33" s="36"/>
      <c r="Y33" s="36"/>
      <c r="Z33" s="36"/>
      <c r="AA33" s="36"/>
      <c r="AB33" s="36"/>
    </row>
    <row r="34">
      <c r="A34" s="29" t="s">
        <v>188</v>
      </c>
      <c r="B34" s="29" t="s">
        <v>13</v>
      </c>
      <c r="C34" s="30" t="s">
        <v>118</v>
      </c>
      <c r="D34" s="31" t="s">
        <v>299</v>
      </c>
      <c r="E34" s="32"/>
      <c r="F34" s="29" t="s">
        <v>180</v>
      </c>
      <c r="G34" s="29" t="s">
        <v>181</v>
      </c>
      <c r="H34" s="30" t="s">
        <v>194</v>
      </c>
      <c r="I34" s="33"/>
      <c r="J34" s="33">
        <v>46023.0</v>
      </c>
      <c r="K34" s="29" t="s">
        <v>182</v>
      </c>
      <c r="L34" s="29" t="s">
        <v>210</v>
      </c>
      <c r="M34" s="29" t="s">
        <v>300</v>
      </c>
      <c r="N34" s="34"/>
      <c r="O34" s="31" t="s">
        <v>301</v>
      </c>
      <c r="P34" s="37"/>
      <c r="Q34" s="36"/>
      <c r="R34" s="36"/>
      <c r="S34" s="36"/>
      <c r="T34" s="36"/>
      <c r="U34" s="36"/>
      <c r="V34" s="36"/>
      <c r="W34" s="36"/>
      <c r="X34" s="36"/>
      <c r="Y34" s="36"/>
      <c r="Z34" s="36"/>
      <c r="AA34" s="36"/>
      <c r="AB34" s="36"/>
    </row>
    <row r="35">
      <c r="A35" s="29"/>
      <c r="B35" s="29"/>
      <c r="C35" s="30" t="s">
        <v>137</v>
      </c>
      <c r="D35" s="31" t="s">
        <v>302</v>
      </c>
      <c r="E35" s="32"/>
      <c r="F35" s="29"/>
      <c r="G35" s="29"/>
      <c r="H35" s="30"/>
      <c r="I35" s="33"/>
      <c r="J35" s="33"/>
      <c r="K35" s="29"/>
      <c r="L35" s="29"/>
      <c r="M35" s="29"/>
      <c r="N35" s="34"/>
      <c r="O35" s="31"/>
      <c r="P35" s="37"/>
      <c r="Q35" s="36"/>
      <c r="R35" s="36"/>
      <c r="S35" s="36"/>
      <c r="T35" s="36"/>
      <c r="U35" s="36"/>
      <c r="V35" s="36"/>
      <c r="W35" s="36"/>
      <c r="X35" s="36"/>
      <c r="Y35" s="36"/>
      <c r="Z35" s="36"/>
      <c r="AA35" s="36"/>
      <c r="AB35" s="36"/>
    </row>
    <row r="36">
      <c r="A36" s="29"/>
      <c r="B36" s="29"/>
      <c r="C36" s="30" t="s">
        <v>1</v>
      </c>
      <c r="D36" s="31" t="s">
        <v>303</v>
      </c>
      <c r="E36" s="32"/>
      <c r="F36" s="29"/>
      <c r="G36" s="29"/>
      <c r="H36" s="30"/>
      <c r="I36" s="33"/>
      <c r="J36" s="33"/>
      <c r="K36" s="29"/>
      <c r="L36" s="29"/>
      <c r="M36" s="29"/>
      <c r="N36" s="34"/>
      <c r="O36" s="31"/>
      <c r="P36" s="37"/>
      <c r="Q36" s="36"/>
      <c r="R36" s="36"/>
      <c r="S36" s="36"/>
      <c r="T36" s="36"/>
      <c r="U36" s="36"/>
      <c r="V36" s="36"/>
      <c r="W36" s="36"/>
      <c r="X36" s="36"/>
      <c r="Y36" s="36"/>
      <c r="Z36" s="36"/>
      <c r="AA36" s="36"/>
      <c r="AB36" s="36"/>
    </row>
    <row r="37">
      <c r="A37" s="29" t="s">
        <v>188</v>
      </c>
      <c r="B37" s="29" t="s">
        <v>13</v>
      </c>
      <c r="C37" s="30" t="s">
        <v>93</v>
      </c>
      <c r="D37" s="31" t="s">
        <v>304</v>
      </c>
      <c r="E37" s="32"/>
      <c r="F37" s="29"/>
      <c r="G37" s="29"/>
      <c r="H37" s="30"/>
      <c r="I37" s="33"/>
      <c r="J37" s="33"/>
      <c r="K37" s="29"/>
      <c r="L37" s="32"/>
      <c r="M37" s="29"/>
      <c r="N37" s="34"/>
      <c r="O37" s="31"/>
      <c r="P37" s="37"/>
      <c r="Q37" s="36"/>
      <c r="R37" s="36"/>
      <c r="S37" s="36"/>
      <c r="T37" s="36"/>
      <c r="U37" s="36"/>
      <c r="V37" s="36"/>
      <c r="W37" s="36"/>
      <c r="X37" s="36"/>
      <c r="Y37" s="36"/>
      <c r="Z37" s="36"/>
      <c r="AA37" s="36"/>
      <c r="AB37" s="36"/>
    </row>
    <row r="38">
      <c r="A38" s="29" t="s">
        <v>188</v>
      </c>
      <c r="B38" s="29" t="s">
        <v>13</v>
      </c>
      <c r="C38" s="30" t="s">
        <v>130</v>
      </c>
      <c r="D38" s="31" t="s">
        <v>305</v>
      </c>
      <c r="E38" s="32"/>
      <c r="F38" s="29"/>
      <c r="G38" s="29"/>
      <c r="H38" s="30"/>
      <c r="I38" s="33"/>
      <c r="J38" s="33"/>
      <c r="K38" s="29"/>
      <c r="L38" s="32"/>
      <c r="M38" s="29"/>
      <c r="N38" s="34"/>
      <c r="O38" s="31"/>
      <c r="P38" s="37"/>
      <c r="Q38" s="36"/>
      <c r="R38" s="36"/>
      <c r="S38" s="36"/>
      <c r="T38" s="36"/>
      <c r="U38" s="36"/>
      <c r="V38" s="36"/>
      <c r="W38" s="36"/>
      <c r="X38" s="36"/>
      <c r="Y38" s="36"/>
      <c r="Z38" s="36"/>
      <c r="AA38" s="36"/>
      <c r="AB38" s="36"/>
    </row>
    <row r="39">
      <c r="A39" s="29" t="s">
        <v>188</v>
      </c>
      <c r="B39" s="29" t="s">
        <v>13</v>
      </c>
      <c r="C39" s="30" t="s">
        <v>139</v>
      </c>
      <c r="D39" s="31" t="s">
        <v>306</v>
      </c>
      <c r="E39" s="32"/>
      <c r="F39" s="29"/>
      <c r="G39" s="29"/>
      <c r="H39" s="30"/>
      <c r="I39" s="33"/>
      <c r="J39" s="33"/>
      <c r="K39" s="29"/>
      <c r="L39" s="32"/>
      <c r="M39" s="29"/>
      <c r="N39" s="34"/>
      <c r="O39" s="31"/>
      <c r="P39" s="37"/>
      <c r="Q39" s="36"/>
      <c r="R39" s="36"/>
      <c r="S39" s="36"/>
      <c r="T39" s="36"/>
      <c r="U39" s="36"/>
      <c r="V39" s="36"/>
      <c r="W39" s="36"/>
      <c r="X39" s="36"/>
      <c r="Y39" s="36"/>
      <c r="Z39" s="36"/>
      <c r="AA39" s="36"/>
      <c r="AB39" s="36"/>
    </row>
    <row r="40">
      <c r="A40" s="29" t="s">
        <v>188</v>
      </c>
      <c r="B40" s="29" t="s">
        <v>13</v>
      </c>
      <c r="C40" s="30" t="s">
        <v>134</v>
      </c>
      <c r="D40" s="31" t="s">
        <v>307</v>
      </c>
      <c r="E40" s="32"/>
      <c r="F40" s="29"/>
      <c r="G40" s="29"/>
      <c r="H40" s="30"/>
      <c r="I40" s="33"/>
      <c r="J40" s="33"/>
      <c r="K40" s="29"/>
      <c r="L40" s="32"/>
      <c r="M40" s="29"/>
      <c r="N40" s="34"/>
      <c r="O40" s="31"/>
      <c r="P40" s="37"/>
      <c r="Q40" s="36"/>
      <c r="R40" s="36"/>
      <c r="S40" s="36"/>
      <c r="T40" s="36"/>
      <c r="U40" s="36"/>
      <c r="V40" s="36"/>
      <c r="W40" s="36"/>
      <c r="X40" s="36"/>
      <c r="Y40" s="36"/>
      <c r="Z40" s="36"/>
      <c r="AA40" s="36"/>
      <c r="AB40" s="36"/>
    </row>
    <row r="41">
      <c r="A41" s="29" t="s">
        <v>188</v>
      </c>
      <c r="B41" s="29" t="s">
        <v>19</v>
      </c>
      <c r="C41" s="30" t="s">
        <v>308</v>
      </c>
      <c r="D41" s="31" t="s">
        <v>309</v>
      </c>
      <c r="E41" s="32"/>
      <c r="F41" s="29" t="s">
        <v>180</v>
      </c>
      <c r="G41" s="29" t="s">
        <v>181</v>
      </c>
      <c r="H41" s="30" t="s">
        <v>202</v>
      </c>
      <c r="I41" s="33"/>
      <c r="J41" s="33">
        <v>46023.0</v>
      </c>
      <c r="K41" s="29" t="s">
        <v>182</v>
      </c>
      <c r="L41" s="29" t="s">
        <v>201</v>
      </c>
      <c r="M41" s="29" t="s">
        <v>7</v>
      </c>
      <c r="N41" s="34"/>
      <c r="O41" s="31" t="s">
        <v>290</v>
      </c>
      <c r="P41" s="37"/>
      <c r="Q41" s="36"/>
      <c r="R41" s="36"/>
      <c r="S41" s="36"/>
      <c r="T41" s="36"/>
      <c r="U41" s="36"/>
      <c r="V41" s="36"/>
      <c r="W41" s="36"/>
      <c r="X41" s="36"/>
      <c r="Y41" s="36"/>
      <c r="Z41" s="36"/>
      <c r="AA41" s="36"/>
      <c r="AB41" s="36"/>
    </row>
    <row r="42">
      <c r="A42" s="29" t="s">
        <v>188</v>
      </c>
      <c r="B42" s="29" t="s">
        <v>19</v>
      </c>
      <c r="C42" s="30" t="s">
        <v>308</v>
      </c>
      <c r="D42" s="31" t="s">
        <v>310</v>
      </c>
      <c r="E42" s="32"/>
      <c r="F42" s="29" t="s">
        <v>180</v>
      </c>
      <c r="G42" s="29" t="s">
        <v>181</v>
      </c>
      <c r="H42" s="30" t="s">
        <v>202</v>
      </c>
      <c r="I42" s="33"/>
      <c r="J42" s="33">
        <v>46023.0</v>
      </c>
      <c r="K42" s="29" t="s">
        <v>182</v>
      </c>
      <c r="L42" s="29" t="s">
        <v>201</v>
      </c>
      <c r="M42" s="29" t="s">
        <v>7</v>
      </c>
      <c r="N42" s="34"/>
      <c r="O42" s="31"/>
      <c r="P42" s="37"/>
      <c r="Q42" s="36"/>
      <c r="R42" s="36"/>
      <c r="S42" s="36"/>
      <c r="T42" s="36"/>
      <c r="U42" s="36"/>
      <c r="V42" s="36"/>
      <c r="W42" s="36"/>
      <c r="X42" s="36"/>
      <c r="Y42" s="36"/>
      <c r="Z42" s="36"/>
      <c r="AA42" s="36"/>
      <c r="AB42" s="36"/>
    </row>
    <row r="43">
      <c r="A43" s="29" t="s">
        <v>188</v>
      </c>
      <c r="B43" s="29" t="s">
        <v>19</v>
      </c>
      <c r="C43" s="30" t="s">
        <v>308</v>
      </c>
      <c r="D43" s="31" t="s">
        <v>311</v>
      </c>
      <c r="E43" s="32"/>
      <c r="F43" s="29" t="s">
        <v>180</v>
      </c>
      <c r="G43" s="29" t="s">
        <v>181</v>
      </c>
      <c r="H43" s="30" t="s">
        <v>202</v>
      </c>
      <c r="I43" s="33"/>
      <c r="J43" s="33">
        <v>46023.0</v>
      </c>
      <c r="K43" s="29" t="s">
        <v>182</v>
      </c>
      <c r="L43" s="29" t="s">
        <v>201</v>
      </c>
      <c r="M43" s="29" t="s">
        <v>7</v>
      </c>
      <c r="N43" s="34"/>
      <c r="O43" s="31"/>
      <c r="P43" s="37"/>
      <c r="Q43" s="36"/>
      <c r="R43" s="36"/>
      <c r="S43" s="36"/>
      <c r="T43" s="36"/>
      <c r="U43" s="36"/>
      <c r="V43" s="36"/>
      <c r="W43" s="36"/>
      <c r="X43" s="36"/>
      <c r="Y43" s="36"/>
      <c r="Z43" s="36"/>
      <c r="AA43" s="36"/>
      <c r="AB43" s="36"/>
    </row>
    <row r="44">
      <c r="A44" s="29" t="s">
        <v>188</v>
      </c>
      <c r="B44" s="29" t="s">
        <v>19</v>
      </c>
      <c r="C44" s="30" t="s">
        <v>308</v>
      </c>
      <c r="D44" s="31" t="s">
        <v>312</v>
      </c>
      <c r="E44" s="32"/>
      <c r="F44" s="29" t="s">
        <v>180</v>
      </c>
      <c r="G44" s="29" t="s">
        <v>181</v>
      </c>
      <c r="H44" s="30" t="s">
        <v>202</v>
      </c>
      <c r="I44" s="33"/>
      <c r="J44" s="33">
        <v>46023.0</v>
      </c>
      <c r="K44" s="29" t="s">
        <v>182</v>
      </c>
      <c r="L44" s="29" t="s">
        <v>201</v>
      </c>
      <c r="M44" s="29" t="s">
        <v>7</v>
      </c>
      <c r="N44" s="34"/>
      <c r="O44" s="31"/>
      <c r="P44" s="37"/>
      <c r="Q44" s="36"/>
      <c r="R44" s="36"/>
      <c r="S44" s="36"/>
      <c r="T44" s="36"/>
      <c r="U44" s="36"/>
      <c r="V44" s="36"/>
      <c r="W44" s="36"/>
      <c r="X44" s="36"/>
      <c r="Y44" s="36"/>
      <c r="Z44" s="36"/>
      <c r="AA44" s="36"/>
      <c r="AB44" s="36"/>
    </row>
    <row r="45">
      <c r="A45" s="29" t="s">
        <v>178</v>
      </c>
      <c r="B45" s="29" t="s">
        <v>313</v>
      </c>
      <c r="C45" s="29" t="s">
        <v>109</v>
      </c>
      <c r="D45" s="31" t="s">
        <v>314</v>
      </c>
      <c r="E45" s="32"/>
      <c r="F45" s="29" t="s">
        <v>180</v>
      </c>
      <c r="G45" s="29" t="s">
        <v>191</v>
      </c>
      <c r="H45" s="30" t="s">
        <v>194</v>
      </c>
      <c r="I45" s="33"/>
      <c r="J45" s="33">
        <v>46054.0</v>
      </c>
      <c r="K45" s="29" t="s">
        <v>182</v>
      </c>
      <c r="L45" s="29" t="s">
        <v>202</v>
      </c>
      <c r="M45" s="29" t="s">
        <v>9</v>
      </c>
      <c r="N45" s="34"/>
      <c r="O45" s="31" t="s">
        <v>315</v>
      </c>
      <c r="P45" s="37"/>
      <c r="Q45" s="36"/>
      <c r="R45" s="36"/>
      <c r="S45" s="36"/>
      <c r="T45" s="36"/>
      <c r="U45" s="36"/>
      <c r="V45" s="36"/>
      <c r="W45" s="36"/>
      <c r="X45" s="36"/>
      <c r="Y45" s="36"/>
      <c r="Z45" s="36"/>
      <c r="AA45" s="36"/>
      <c r="AB45" s="36"/>
    </row>
    <row r="46">
      <c r="A46" s="29" t="s">
        <v>199</v>
      </c>
      <c r="B46" s="30" t="s">
        <v>28</v>
      </c>
      <c r="C46" s="30" t="s">
        <v>28</v>
      </c>
      <c r="D46" s="31" t="s">
        <v>316</v>
      </c>
      <c r="E46" s="32"/>
      <c r="F46" s="29" t="s">
        <v>174</v>
      </c>
      <c r="G46" s="29" t="s">
        <v>191</v>
      </c>
      <c r="H46" s="30" t="s">
        <v>194</v>
      </c>
      <c r="I46" s="49"/>
      <c r="J46" s="49">
        <v>46068.0</v>
      </c>
      <c r="K46" s="29" t="s">
        <v>182</v>
      </c>
      <c r="L46" s="29" t="s">
        <v>201</v>
      </c>
      <c r="M46" s="29" t="s">
        <v>176</v>
      </c>
      <c r="N46" s="34"/>
      <c r="O46" s="31" t="s">
        <v>317</v>
      </c>
      <c r="P46" s="37"/>
      <c r="Q46" s="36"/>
      <c r="R46" s="36"/>
      <c r="S46" s="36"/>
      <c r="T46" s="36"/>
      <c r="U46" s="36"/>
      <c r="V46" s="36"/>
      <c r="W46" s="36"/>
      <c r="X46" s="36"/>
      <c r="Y46" s="36"/>
      <c r="Z46" s="36"/>
      <c r="AA46" s="36"/>
      <c r="AB46" s="36"/>
    </row>
    <row r="47">
      <c r="A47" s="29" t="s">
        <v>188</v>
      </c>
      <c r="B47" s="29" t="s">
        <v>19</v>
      </c>
      <c r="C47" s="30" t="s">
        <v>318</v>
      </c>
      <c r="D47" s="31" t="s">
        <v>319</v>
      </c>
      <c r="E47" s="32"/>
      <c r="F47" s="29" t="s">
        <v>174</v>
      </c>
      <c r="G47" s="29" t="s">
        <v>186</v>
      </c>
      <c r="H47" s="30" t="s">
        <v>201</v>
      </c>
      <c r="I47" s="49"/>
      <c r="J47" s="49">
        <v>46162.0</v>
      </c>
      <c r="K47" s="29" t="s">
        <v>187</v>
      </c>
      <c r="L47" s="29" t="s">
        <v>202</v>
      </c>
      <c r="M47" s="29" t="s">
        <v>1</v>
      </c>
      <c r="N47" s="34"/>
      <c r="O47" s="31" t="s">
        <v>320</v>
      </c>
      <c r="P47" s="37"/>
      <c r="Q47" s="36"/>
      <c r="R47" s="36"/>
      <c r="S47" s="36"/>
      <c r="T47" s="36"/>
      <c r="U47" s="36"/>
      <c r="V47" s="36"/>
      <c r="W47" s="36"/>
      <c r="X47" s="36"/>
      <c r="Y47" s="36"/>
      <c r="Z47" s="36"/>
      <c r="AA47" s="36"/>
      <c r="AB47" s="36"/>
    </row>
    <row r="48">
      <c r="A48" s="29" t="s">
        <v>188</v>
      </c>
      <c r="B48" s="29" t="s">
        <v>19</v>
      </c>
      <c r="C48" s="30" t="s">
        <v>318</v>
      </c>
      <c r="D48" s="31" t="s">
        <v>321</v>
      </c>
      <c r="E48" s="32"/>
      <c r="F48" s="29"/>
      <c r="G48" s="29"/>
      <c r="H48" s="30"/>
      <c r="I48" s="49"/>
      <c r="J48" s="49"/>
      <c r="K48" s="29"/>
      <c r="L48" s="29"/>
      <c r="M48" s="29"/>
      <c r="N48" s="34"/>
      <c r="O48" s="31"/>
      <c r="P48" s="37"/>
      <c r="Q48" s="36"/>
      <c r="R48" s="36"/>
      <c r="S48" s="36"/>
      <c r="T48" s="36"/>
      <c r="U48" s="36"/>
      <c r="V48" s="36"/>
      <c r="W48" s="36"/>
      <c r="X48" s="36"/>
      <c r="Y48" s="36"/>
      <c r="Z48" s="36"/>
      <c r="AA48" s="36"/>
      <c r="AB48" s="36"/>
    </row>
    <row r="49">
      <c r="A49" s="29" t="s">
        <v>188</v>
      </c>
      <c r="B49" s="29" t="s">
        <v>19</v>
      </c>
      <c r="C49" s="30" t="s">
        <v>318</v>
      </c>
      <c r="D49" s="31" t="s">
        <v>322</v>
      </c>
      <c r="E49" s="32"/>
      <c r="F49" s="29"/>
      <c r="G49" s="29"/>
      <c r="H49" s="30"/>
      <c r="I49" s="49"/>
      <c r="J49" s="49"/>
      <c r="K49" s="29"/>
      <c r="L49" s="29"/>
      <c r="M49" s="29"/>
      <c r="N49" s="34"/>
      <c r="O49" s="31"/>
      <c r="P49" s="37"/>
      <c r="Q49" s="36"/>
      <c r="R49" s="36"/>
      <c r="S49" s="36"/>
      <c r="T49" s="36"/>
      <c r="U49" s="36"/>
      <c r="V49" s="36"/>
      <c r="W49" s="36"/>
      <c r="X49" s="36"/>
      <c r="Y49" s="36"/>
      <c r="Z49" s="36"/>
      <c r="AA49" s="36"/>
      <c r="AB49" s="36"/>
    </row>
    <row r="50">
      <c r="A50" s="29" t="s">
        <v>188</v>
      </c>
      <c r="B50" s="29" t="s">
        <v>19</v>
      </c>
      <c r="C50" s="30" t="s">
        <v>308</v>
      </c>
      <c r="D50" s="31" t="s">
        <v>323</v>
      </c>
      <c r="E50" s="32"/>
      <c r="F50" s="29" t="s">
        <v>174</v>
      </c>
      <c r="G50" s="29" t="s">
        <v>186</v>
      </c>
      <c r="H50" s="30" t="s">
        <v>194</v>
      </c>
      <c r="I50" s="49"/>
      <c r="J50" s="49">
        <v>46162.0</v>
      </c>
      <c r="K50" s="29" t="s">
        <v>187</v>
      </c>
      <c r="L50" s="29" t="s">
        <v>210</v>
      </c>
      <c r="M50" s="29" t="s">
        <v>9</v>
      </c>
      <c r="N50" s="34"/>
      <c r="O50" s="31" t="s">
        <v>324</v>
      </c>
      <c r="P50" s="37"/>
      <c r="Q50" s="36"/>
      <c r="R50" s="36"/>
      <c r="S50" s="36"/>
      <c r="T50" s="36"/>
      <c r="U50" s="36"/>
      <c r="V50" s="36"/>
      <c r="W50" s="36"/>
      <c r="X50" s="36"/>
      <c r="Y50" s="36"/>
      <c r="Z50" s="36"/>
      <c r="AA50" s="36"/>
      <c r="AB50" s="36"/>
    </row>
    <row r="51">
      <c r="A51" s="29" t="s">
        <v>188</v>
      </c>
      <c r="B51" s="29" t="s">
        <v>19</v>
      </c>
      <c r="C51" s="30" t="s">
        <v>308</v>
      </c>
      <c r="D51" s="31" t="s">
        <v>325</v>
      </c>
      <c r="E51" s="32"/>
      <c r="F51" s="29"/>
      <c r="G51" s="29"/>
      <c r="H51" s="30"/>
      <c r="I51" s="49"/>
      <c r="J51" s="49"/>
      <c r="K51" s="29"/>
      <c r="L51" s="29"/>
      <c r="M51" s="29"/>
      <c r="N51" s="34"/>
      <c r="O51" s="31"/>
      <c r="P51" s="37"/>
      <c r="Q51" s="36"/>
      <c r="R51" s="36"/>
      <c r="S51" s="36"/>
      <c r="T51" s="36"/>
      <c r="U51" s="36"/>
      <c r="V51" s="36"/>
      <c r="W51" s="36"/>
      <c r="X51" s="36"/>
      <c r="Y51" s="36"/>
      <c r="Z51" s="36"/>
      <c r="AA51" s="36"/>
      <c r="AB51" s="36"/>
    </row>
    <row r="52">
      <c r="A52" s="29" t="s">
        <v>188</v>
      </c>
      <c r="B52" s="29" t="s">
        <v>19</v>
      </c>
      <c r="C52" s="30" t="s">
        <v>308</v>
      </c>
      <c r="D52" s="31" t="s">
        <v>326</v>
      </c>
      <c r="E52" s="32"/>
      <c r="F52" s="29"/>
      <c r="G52" s="29"/>
      <c r="H52" s="30"/>
      <c r="I52" s="49"/>
      <c r="J52" s="49"/>
      <c r="K52" s="29"/>
      <c r="L52" s="29"/>
      <c r="M52" s="29"/>
      <c r="N52" s="34"/>
      <c r="O52" s="31"/>
      <c r="P52" s="37"/>
      <c r="Q52" s="36"/>
      <c r="R52" s="36"/>
      <c r="S52" s="36"/>
      <c r="T52" s="36"/>
      <c r="U52" s="36"/>
      <c r="V52" s="36"/>
      <c r="W52" s="36"/>
      <c r="X52" s="36"/>
      <c r="Y52" s="36"/>
      <c r="Z52" s="36"/>
      <c r="AA52" s="36"/>
      <c r="AB52" s="36"/>
    </row>
    <row r="53">
      <c r="A53" s="29" t="s">
        <v>188</v>
      </c>
      <c r="B53" s="29" t="s">
        <v>19</v>
      </c>
      <c r="C53" s="30" t="s">
        <v>327</v>
      </c>
      <c r="D53" s="31" t="s">
        <v>328</v>
      </c>
      <c r="E53" s="32"/>
      <c r="F53" s="29"/>
      <c r="G53" s="29"/>
      <c r="H53" s="30"/>
      <c r="I53" s="49"/>
      <c r="J53" s="49"/>
      <c r="K53" s="29"/>
      <c r="L53" s="29"/>
      <c r="M53" s="29"/>
      <c r="N53" s="34"/>
      <c r="O53" s="31"/>
      <c r="P53" s="37"/>
      <c r="Q53" s="36"/>
      <c r="R53" s="36"/>
      <c r="S53" s="36"/>
      <c r="T53" s="36"/>
      <c r="U53" s="36"/>
      <c r="V53" s="36"/>
      <c r="W53" s="36"/>
      <c r="X53" s="36"/>
      <c r="Y53" s="36"/>
      <c r="Z53" s="36"/>
      <c r="AA53" s="36"/>
      <c r="AB53" s="36"/>
    </row>
    <row r="54">
      <c r="A54" s="29" t="s">
        <v>188</v>
      </c>
      <c r="B54" s="29" t="s">
        <v>19</v>
      </c>
      <c r="C54" s="30" t="s">
        <v>327</v>
      </c>
      <c r="D54" s="31" t="s">
        <v>329</v>
      </c>
      <c r="E54" s="32"/>
      <c r="F54" s="29"/>
      <c r="G54" s="29"/>
      <c r="H54" s="30"/>
      <c r="I54" s="49"/>
      <c r="J54" s="49"/>
      <c r="K54" s="29"/>
      <c r="L54" s="29"/>
      <c r="M54" s="29"/>
      <c r="N54" s="34"/>
      <c r="O54" s="31"/>
      <c r="P54" s="37"/>
      <c r="Q54" s="36"/>
      <c r="R54" s="36"/>
      <c r="S54" s="36"/>
      <c r="T54" s="36"/>
      <c r="U54" s="36"/>
      <c r="V54" s="36"/>
      <c r="W54" s="36"/>
      <c r="X54" s="36"/>
      <c r="Y54" s="36"/>
      <c r="Z54" s="36"/>
      <c r="AA54" s="36"/>
      <c r="AB54" s="36"/>
    </row>
    <row r="55">
      <c r="A55" s="29" t="s">
        <v>188</v>
      </c>
      <c r="B55" s="29" t="s">
        <v>19</v>
      </c>
      <c r="C55" s="30" t="s">
        <v>327</v>
      </c>
      <c r="D55" s="31" t="s">
        <v>330</v>
      </c>
      <c r="E55" s="32"/>
      <c r="F55" s="29"/>
      <c r="G55" s="29"/>
      <c r="H55" s="30"/>
      <c r="I55" s="49"/>
      <c r="J55" s="49"/>
      <c r="K55" s="29"/>
      <c r="L55" s="29"/>
      <c r="M55" s="29"/>
      <c r="N55" s="34"/>
      <c r="O55" s="31"/>
      <c r="P55" s="37"/>
      <c r="Q55" s="36"/>
      <c r="R55" s="36"/>
      <c r="S55" s="36"/>
      <c r="T55" s="36"/>
      <c r="U55" s="36"/>
      <c r="V55" s="36"/>
      <c r="W55" s="36"/>
      <c r="X55" s="36"/>
      <c r="Y55" s="36"/>
      <c r="Z55" s="36"/>
      <c r="AA55" s="36"/>
      <c r="AB55" s="36"/>
    </row>
    <row r="56">
      <c r="A56" s="29" t="s">
        <v>188</v>
      </c>
      <c r="B56" s="29" t="s">
        <v>19</v>
      </c>
      <c r="C56" s="30" t="s">
        <v>331</v>
      </c>
      <c r="D56" s="31" t="s">
        <v>332</v>
      </c>
      <c r="E56" s="32"/>
      <c r="F56" s="29"/>
      <c r="G56" s="29"/>
      <c r="H56" s="30"/>
      <c r="I56" s="49"/>
      <c r="J56" s="49"/>
      <c r="K56" s="29"/>
      <c r="L56" s="29"/>
      <c r="M56" s="29"/>
      <c r="N56" s="34"/>
      <c r="O56" s="31"/>
      <c r="P56" s="37"/>
      <c r="Q56" s="36"/>
      <c r="R56" s="36"/>
      <c r="S56" s="36"/>
      <c r="T56" s="36"/>
      <c r="U56" s="36"/>
      <c r="V56" s="36"/>
      <c r="W56" s="36"/>
      <c r="X56" s="36"/>
      <c r="Y56" s="36"/>
      <c r="Z56" s="36"/>
      <c r="AA56" s="36"/>
      <c r="AB56" s="36"/>
    </row>
    <row r="57">
      <c r="A57" s="29" t="s">
        <v>188</v>
      </c>
      <c r="B57" s="29" t="s">
        <v>19</v>
      </c>
      <c r="C57" s="30" t="s">
        <v>331</v>
      </c>
      <c r="D57" s="31" t="s">
        <v>333</v>
      </c>
      <c r="E57" s="32"/>
      <c r="F57" s="29"/>
      <c r="G57" s="29"/>
      <c r="H57" s="30"/>
      <c r="I57" s="49"/>
      <c r="J57" s="49"/>
      <c r="K57" s="29"/>
      <c r="L57" s="29"/>
      <c r="M57" s="29"/>
      <c r="N57" s="34"/>
      <c r="O57" s="31"/>
      <c r="P57" s="37"/>
      <c r="Q57" s="36"/>
      <c r="R57" s="36"/>
      <c r="S57" s="36"/>
      <c r="T57" s="36"/>
      <c r="U57" s="36"/>
      <c r="V57" s="36"/>
      <c r="W57" s="36"/>
      <c r="X57" s="36"/>
      <c r="Y57" s="36"/>
      <c r="Z57" s="36"/>
      <c r="AA57" s="36"/>
      <c r="AB57" s="36"/>
    </row>
    <row r="58">
      <c r="A58" s="29" t="s">
        <v>188</v>
      </c>
      <c r="B58" s="29" t="s">
        <v>19</v>
      </c>
      <c r="C58" s="30" t="s">
        <v>331</v>
      </c>
      <c r="D58" s="31" t="s">
        <v>334</v>
      </c>
      <c r="E58" s="32"/>
      <c r="F58" s="29"/>
      <c r="G58" s="29"/>
      <c r="H58" s="30"/>
      <c r="I58" s="49"/>
      <c r="J58" s="49"/>
      <c r="K58" s="29"/>
      <c r="L58" s="29"/>
      <c r="M58" s="29"/>
      <c r="N58" s="34"/>
      <c r="O58" s="31"/>
      <c r="P58" s="37"/>
      <c r="Q58" s="36"/>
      <c r="R58" s="36"/>
      <c r="S58" s="36"/>
      <c r="T58" s="36"/>
      <c r="U58" s="36"/>
      <c r="V58" s="36"/>
      <c r="W58" s="36"/>
      <c r="X58" s="36"/>
      <c r="Y58" s="36"/>
      <c r="Z58" s="36"/>
      <c r="AA58" s="36"/>
      <c r="AB58" s="36"/>
    </row>
    <row r="59">
      <c r="A59" s="29" t="s">
        <v>199</v>
      </c>
      <c r="B59" s="29" t="s">
        <v>19</v>
      </c>
      <c r="C59" s="30" t="s">
        <v>164</v>
      </c>
      <c r="D59" s="31" t="s">
        <v>335</v>
      </c>
      <c r="E59" s="32"/>
      <c r="F59" s="29" t="s">
        <v>174</v>
      </c>
      <c r="G59" s="29" t="s">
        <v>186</v>
      </c>
      <c r="H59" s="30" t="s">
        <v>194</v>
      </c>
      <c r="I59" s="49"/>
      <c r="J59" s="49">
        <v>46162.0</v>
      </c>
      <c r="K59" s="29" t="s">
        <v>187</v>
      </c>
      <c r="L59" s="32"/>
      <c r="M59" s="29" t="s">
        <v>300</v>
      </c>
      <c r="N59" s="34"/>
      <c r="O59" s="38"/>
      <c r="P59" s="37"/>
      <c r="Q59" s="36"/>
      <c r="R59" s="36"/>
      <c r="S59" s="36"/>
      <c r="T59" s="36"/>
      <c r="U59" s="36"/>
      <c r="V59" s="36"/>
      <c r="W59" s="36"/>
      <c r="X59" s="36"/>
      <c r="Y59" s="36"/>
      <c r="Z59" s="36"/>
      <c r="AA59" s="36"/>
      <c r="AB59" s="36"/>
    </row>
    <row r="60">
      <c r="A60" s="29" t="s">
        <v>199</v>
      </c>
      <c r="B60" s="29" t="s">
        <v>49</v>
      </c>
      <c r="C60" s="30" t="s">
        <v>107</v>
      </c>
      <c r="D60" s="31" t="s">
        <v>336</v>
      </c>
      <c r="E60" s="32"/>
      <c r="F60" s="29" t="s">
        <v>174</v>
      </c>
      <c r="G60" s="29" t="s">
        <v>186</v>
      </c>
      <c r="H60" s="30" t="s">
        <v>202</v>
      </c>
      <c r="I60" s="49"/>
      <c r="J60" s="49">
        <v>46174.0</v>
      </c>
      <c r="K60" s="29" t="s">
        <v>187</v>
      </c>
      <c r="L60" s="29" t="s">
        <v>210</v>
      </c>
      <c r="M60" s="29" t="s">
        <v>8</v>
      </c>
      <c r="N60" s="34"/>
      <c r="O60" s="31" t="s">
        <v>337</v>
      </c>
      <c r="P60" s="37"/>
      <c r="Q60" s="36"/>
      <c r="R60" s="36"/>
      <c r="S60" s="36"/>
      <c r="T60" s="36"/>
      <c r="U60" s="36"/>
      <c r="V60" s="36"/>
      <c r="W60" s="36"/>
      <c r="X60" s="36"/>
      <c r="Y60" s="36"/>
      <c r="Z60" s="36"/>
      <c r="AA60" s="36"/>
      <c r="AB60" s="36"/>
    </row>
    <row r="61">
      <c r="A61" s="29" t="s">
        <v>199</v>
      </c>
      <c r="B61" s="29" t="s">
        <v>49</v>
      </c>
      <c r="C61" s="30" t="s">
        <v>107</v>
      </c>
      <c r="D61" s="31" t="s">
        <v>338</v>
      </c>
      <c r="E61" s="32"/>
      <c r="F61" s="29"/>
      <c r="G61" s="29"/>
      <c r="H61" s="30"/>
      <c r="I61" s="49"/>
      <c r="J61" s="49"/>
      <c r="K61" s="29"/>
      <c r="L61" s="29"/>
      <c r="M61" s="29"/>
      <c r="N61" s="34"/>
      <c r="O61" s="31"/>
      <c r="P61" s="37"/>
      <c r="Q61" s="36"/>
      <c r="R61" s="36"/>
      <c r="S61" s="36"/>
      <c r="T61" s="36"/>
      <c r="U61" s="36"/>
      <c r="V61" s="36"/>
      <c r="W61" s="36"/>
      <c r="X61" s="36"/>
      <c r="Y61" s="36"/>
      <c r="Z61" s="36"/>
      <c r="AA61" s="36"/>
      <c r="AB61" s="36"/>
    </row>
    <row r="62">
      <c r="A62" s="29" t="s">
        <v>199</v>
      </c>
      <c r="B62" s="29" t="s">
        <v>49</v>
      </c>
      <c r="C62" s="30" t="s">
        <v>339</v>
      </c>
      <c r="D62" s="31" t="s">
        <v>340</v>
      </c>
      <c r="E62" s="32"/>
      <c r="F62" s="29"/>
      <c r="G62" s="29"/>
      <c r="H62" s="30"/>
      <c r="I62" s="49"/>
      <c r="J62" s="49"/>
      <c r="K62" s="29"/>
      <c r="L62" s="29"/>
      <c r="M62" s="29"/>
      <c r="N62" s="34"/>
      <c r="O62" s="31"/>
      <c r="P62" s="37"/>
      <c r="Q62" s="36"/>
      <c r="R62" s="36"/>
      <c r="S62" s="36"/>
      <c r="T62" s="36"/>
      <c r="U62" s="36"/>
      <c r="V62" s="36"/>
      <c r="W62" s="36"/>
      <c r="X62" s="36"/>
      <c r="Y62" s="36"/>
      <c r="Z62" s="36"/>
      <c r="AA62" s="36"/>
      <c r="AB62" s="36"/>
    </row>
    <row r="63">
      <c r="A63" s="29" t="s">
        <v>199</v>
      </c>
      <c r="B63" s="29" t="s">
        <v>49</v>
      </c>
      <c r="C63" s="30" t="s">
        <v>139</v>
      </c>
      <c r="D63" s="31" t="s">
        <v>341</v>
      </c>
      <c r="E63" s="32"/>
      <c r="F63" s="29" t="s">
        <v>174</v>
      </c>
      <c r="G63" s="29" t="s">
        <v>186</v>
      </c>
      <c r="H63" s="30" t="s">
        <v>194</v>
      </c>
      <c r="I63" s="49"/>
      <c r="J63" s="49">
        <v>46162.0</v>
      </c>
      <c r="K63" s="29" t="s">
        <v>187</v>
      </c>
      <c r="L63" s="29" t="s">
        <v>210</v>
      </c>
      <c r="M63" s="29" t="s">
        <v>7</v>
      </c>
      <c r="N63" s="34"/>
      <c r="O63" s="31" t="s">
        <v>342</v>
      </c>
      <c r="P63" s="35" t="s">
        <v>343</v>
      </c>
      <c r="Q63" s="36"/>
      <c r="R63" s="36"/>
      <c r="S63" s="36"/>
      <c r="T63" s="36"/>
      <c r="U63" s="36"/>
      <c r="V63" s="36"/>
      <c r="W63" s="36"/>
      <c r="X63" s="36"/>
      <c r="Y63" s="36"/>
      <c r="Z63" s="36"/>
      <c r="AA63" s="36"/>
      <c r="AB63" s="36"/>
    </row>
    <row r="64">
      <c r="A64" s="29" t="s">
        <v>199</v>
      </c>
      <c r="B64" s="29" t="s">
        <v>49</v>
      </c>
      <c r="C64" s="30" t="s">
        <v>139</v>
      </c>
      <c r="D64" s="31" t="s">
        <v>344</v>
      </c>
      <c r="E64" s="32"/>
      <c r="F64" s="29"/>
      <c r="G64" s="29"/>
      <c r="H64" s="30"/>
      <c r="I64" s="49"/>
      <c r="J64" s="49"/>
      <c r="K64" s="29"/>
      <c r="L64" s="29"/>
      <c r="M64" s="29"/>
      <c r="N64" s="34"/>
      <c r="O64" s="31"/>
      <c r="P64" s="35"/>
      <c r="Q64" s="36"/>
      <c r="R64" s="36"/>
      <c r="S64" s="36"/>
      <c r="T64" s="36"/>
      <c r="U64" s="36"/>
      <c r="V64" s="36"/>
      <c r="W64" s="36"/>
      <c r="X64" s="36"/>
      <c r="Y64" s="36"/>
      <c r="Z64" s="36"/>
      <c r="AA64" s="36"/>
      <c r="AB64" s="36"/>
    </row>
    <row r="65">
      <c r="A65" s="29" t="s">
        <v>199</v>
      </c>
      <c r="B65" s="29" t="s">
        <v>49</v>
      </c>
      <c r="C65" s="30" t="s">
        <v>139</v>
      </c>
      <c r="D65" s="31" t="s">
        <v>345</v>
      </c>
      <c r="E65" s="32"/>
      <c r="F65" s="29"/>
      <c r="G65" s="29"/>
      <c r="H65" s="30"/>
      <c r="I65" s="49"/>
      <c r="J65" s="49"/>
      <c r="K65" s="29"/>
      <c r="L65" s="29"/>
      <c r="M65" s="29"/>
      <c r="N65" s="34"/>
      <c r="O65" s="31"/>
      <c r="P65" s="35"/>
      <c r="Q65" s="36"/>
      <c r="R65" s="36"/>
      <c r="S65" s="36"/>
      <c r="T65" s="36"/>
      <c r="U65" s="36"/>
      <c r="V65" s="36"/>
      <c r="W65" s="36"/>
      <c r="X65" s="36"/>
      <c r="Y65" s="36"/>
      <c r="Z65" s="36"/>
      <c r="AA65" s="36"/>
      <c r="AB65" s="36"/>
    </row>
    <row r="66">
      <c r="A66" s="29" t="s">
        <v>188</v>
      </c>
      <c r="B66" s="29" t="s">
        <v>19</v>
      </c>
      <c r="C66" s="30" t="s">
        <v>346</v>
      </c>
      <c r="D66" s="31" t="s">
        <v>347</v>
      </c>
      <c r="E66" s="32"/>
      <c r="F66" s="29" t="s">
        <v>174</v>
      </c>
      <c r="G66" s="29" t="s">
        <v>186</v>
      </c>
      <c r="H66" s="30" t="s">
        <v>210</v>
      </c>
      <c r="I66" s="49"/>
      <c r="J66" s="49">
        <v>46162.0</v>
      </c>
      <c r="K66" s="29" t="s">
        <v>187</v>
      </c>
      <c r="L66" s="29" t="s">
        <v>194</v>
      </c>
      <c r="M66" s="29" t="s">
        <v>9</v>
      </c>
      <c r="N66" s="34"/>
      <c r="O66" s="31" t="s">
        <v>348</v>
      </c>
      <c r="P66" s="37"/>
      <c r="Q66" s="36"/>
      <c r="R66" s="36"/>
      <c r="S66" s="36"/>
      <c r="T66" s="36"/>
      <c r="U66" s="36"/>
      <c r="V66" s="36"/>
      <c r="W66" s="36"/>
      <c r="X66" s="36"/>
      <c r="Y66" s="36"/>
      <c r="Z66" s="36"/>
      <c r="AA66" s="36"/>
      <c r="AB66" s="36"/>
    </row>
    <row r="67">
      <c r="A67" s="29" t="s">
        <v>199</v>
      </c>
      <c r="B67" s="29" t="s">
        <v>19</v>
      </c>
      <c r="C67" s="30" t="s">
        <v>308</v>
      </c>
      <c r="D67" s="31" t="s">
        <v>349</v>
      </c>
      <c r="E67" s="32"/>
      <c r="F67" s="29" t="s">
        <v>174</v>
      </c>
      <c r="G67" s="29" t="s">
        <v>191</v>
      </c>
      <c r="H67" s="30" t="s">
        <v>202</v>
      </c>
      <c r="I67" s="49"/>
      <c r="J67" s="49">
        <v>46174.0</v>
      </c>
      <c r="K67" s="29" t="s">
        <v>187</v>
      </c>
      <c r="L67" s="29" t="s">
        <v>201</v>
      </c>
      <c r="M67" s="29" t="s">
        <v>7</v>
      </c>
      <c r="N67" s="34"/>
      <c r="O67" s="38"/>
      <c r="P67" s="37"/>
      <c r="Q67" s="36"/>
      <c r="R67" s="36"/>
      <c r="S67" s="36"/>
      <c r="T67" s="36"/>
      <c r="U67" s="36"/>
      <c r="V67" s="36"/>
      <c r="W67" s="36"/>
      <c r="X67" s="36"/>
      <c r="Y67" s="36"/>
      <c r="Z67" s="36"/>
      <c r="AA67" s="36"/>
      <c r="AB67" s="36"/>
    </row>
    <row r="68">
      <c r="A68" s="29" t="s">
        <v>199</v>
      </c>
      <c r="B68" s="29" t="s">
        <v>34</v>
      </c>
      <c r="C68" s="30" t="s">
        <v>107</v>
      </c>
      <c r="D68" s="31" t="s">
        <v>350</v>
      </c>
      <c r="E68" s="32"/>
      <c r="F68" s="29" t="s">
        <v>174</v>
      </c>
      <c r="G68" s="29" t="s">
        <v>181</v>
      </c>
      <c r="H68" s="30" t="s">
        <v>202</v>
      </c>
      <c r="I68" s="49"/>
      <c r="J68" s="49">
        <v>46204.0</v>
      </c>
      <c r="K68" s="29" t="s">
        <v>192</v>
      </c>
      <c r="L68" s="29" t="s">
        <v>210</v>
      </c>
      <c r="M68" s="29" t="s">
        <v>8</v>
      </c>
      <c r="N68" s="34"/>
      <c r="O68" s="38"/>
      <c r="P68" s="37"/>
      <c r="Q68" s="36"/>
      <c r="R68" s="36"/>
      <c r="S68" s="36"/>
      <c r="T68" s="36"/>
      <c r="U68" s="36"/>
      <c r="V68" s="36"/>
      <c r="W68" s="36"/>
      <c r="X68" s="36"/>
      <c r="Y68" s="36"/>
      <c r="Z68" s="36"/>
      <c r="AA68" s="36"/>
      <c r="AB68" s="36"/>
    </row>
    <row r="69">
      <c r="A69" s="29" t="s">
        <v>199</v>
      </c>
      <c r="B69" s="29" t="s">
        <v>49</v>
      </c>
      <c r="C69" s="30" t="s">
        <v>164</v>
      </c>
      <c r="D69" s="31" t="s">
        <v>351</v>
      </c>
      <c r="E69" s="32"/>
      <c r="F69" s="29" t="s">
        <v>174</v>
      </c>
      <c r="G69" s="29" t="s">
        <v>186</v>
      </c>
      <c r="H69" s="30" t="s">
        <v>194</v>
      </c>
      <c r="I69" s="49"/>
      <c r="J69" s="49">
        <v>46234.0</v>
      </c>
      <c r="K69" s="29" t="s">
        <v>192</v>
      </c>
      <c r="L69" s="32"/>
      <c r="M69" s="29" t="s">
        <v>7</v>
      </c>
      <c r="N69" s="34"/>
      <c r="O69" s="38"/>
      <c r="P69" s="37"/>
      <c r="Q69" s="36"/>
      <c r="R69" s="36"/>
      <c r="S69" s="36"/>
      <c r="T69" s="36"/>
      <c r="U69" s="36"/>
      <c r="V69" s="36"/>
      <c r="W69" s="36"/>
      <c r="X69" s="36"/>
      <c r="Y69" s="36"/>
      <c r="Z69" s="36"/>
      <c r="AA69" s="36"/>
      <c r="AB69" s="36"/>
    </row>
    <row r="70">
      <c r="A70" s="29" t="s">
        <v>199</v>
      </c>
      <c r="B70" s="29" t="s">
        <v>49</v>
      </c>
      <c r="C70" s="29" t="s">
        <v>352</v>
      </c>
      <c r="D70" s="31" t="s">
        <v>353</v>
      </c>
      <c r="E70" s="50"/>
      <c r="F70" s="29" t="s">
        <v>174</v>
      </c>
      <c r="G70" s="29" t="s">
        <v>181</v>
      </c>
      <c r="H70" s="30" t="s">
        <v>201</v>
      </c>
      <c r="I70" s="49"/>
      <c r="J70" s="49">
        <v>46218.0</v>
      </c>
      <c r="K70" s="29" t="s">
        <v>192</v>
      </c>
      <c r="L70" s="29" t="s">
        <v>202</v>
      </c>
      <c r="M70" s="29" t="s">
        <v>1</v>
      </c>
      <c r="N70" s="34"/>
      <c r="O70" s="38"/>
      <c r="P70" s="37"/>
      <c r="Q70" s="36"/>
      <c r="R70" s="36"/>
      <c r="S70" s="36"/>
      <c r="T70" s="36"/>
      <c r="U70" s="36"/>
      <c r="V70" s="36"/>
      <c r="W70" s="36"/>
      <c r="X70" s="36"/>
      <c r="Y70" s="36"/>
      <c r="Z70" s="36"/>
      <c r="AA70" s="36"/>
      <c r="AB70" s="36"/>
    </row>
    <row r="71">
      <c r="A71" s="29" t="s">
        <v>199</v>
      </c>
      <c r="B71" s="29" t="s">
        <v>34</v>
      </c>
      <c r="C71" s="29" t="s">
        <v>352</v>
      </c>
      <c r="D71" s="31" t="s">
        <v>338</v>
      </c>
      <c r="E71" s="50"/>
      <c r="F71" s="29" t="s">
        <v>174</v>
      </c>
      <c r="G71" s="29" t="s">
        <v>181</v>
      </c>
      <c r="H71" s="30" t="s">
        <v>201</v>
      </c>
      <c r="I71" s="49"/>
      <c r="J71" s="49">
        <v>46218.0</v>
      </c>
      <c r="K71" s="29" t="s">
        <v>192</v>
      </c>
      <c r="L71" s="29" t="s">
        <v>202</v>
      </c>
      <c r="M71" s="29" t="s">
        <v>1</v>
      </c>
      <c r="N71" s="34"/>
      <c r="O71" s="38"/>
      <c r="P71" s="37"/>
      <c r="Q71" s="36"/>
      <c r="R71" s="36"/>
      <c r="S71" s="36"/>
      <c r="T71" s="36"/>
      <c r="U71" s="36"/>
      <c r="V71" s="36"/>
      <c r="W71" s="36"/>
      <c r="X71" s="36"/>
      <c r="Y71" s="36"/>
      <c r="Z71" s="36"/>
      <c r="AA71" s="36"/>
      <c r="AB71" s="36"/>
    </row>
    <row r="72">
      <c r="A72" s="29" t="s">
        <v>199</v>
      </c>
      <c r="B72" s="29" t="s">
        <v>49</v>
      </c>
      <c r="C72" s="29" t="s">
        <v>354</v>
      </c>
      <c r="D72" s="31" t="s">
        <v>355</v>
      </c>
      <c r="E72" s="50"/>
      <c r="F72" s="29" t="s">
        <v>174</v>
      </c>
      <c r="G72" s="29" t="s">
        <v>186</v>
      </c>
      <c r="H72" s="30" t="s">
        <v>201</v>
      </c>
      <c r="I72" s="49"/>
      <c r="J72" s="49">
        <v>46234.0</v>
      </c>
      <c r="K72" s="29" t="s">
        <v>192</v>
      </c>
      <c r="L72" s="29" t="s">
        <v>202</v>
      </c>
      <c r="M72" s="29" t="s">
        <v>1</v>
      </c>
      <c r="N72" s="34"/>
      <c r="O72" s="38"/>
      <c r="P72" s="37"/>
      <c r="Q72" s="36"/>
      <c r="R72" s="36"/>
      <c r="S72" s="36"/>
      <c r="T72" s="36"/>
      <c r="U72" s="36"/>
      <c r="V72" s="36"/>
      <c r="W72" s="36"/>
      <c r="X72" s="36"/>
      <c r="Y72" s="36"/>
      <c r="Z72" s="36"/>
      <c r="AA72" s="36"/>
      <c r="AB72" s="36"/>
    </row>
    <row r="73">
      <c r="A73" s="29" t="s">
        <v>199</v>
      </c>
      <c r="B73" s="29" t="s">
        <v>313</v>
      </c>
      <c r="C73" s="29" t="s">
        <v>122</v>
      </c>
      <c r="D73" s="31" t="s">
        <v>356</v>
      </c>
      <c r="E73" s="50"/>
      <c r="F73" s="29" t="s">
        <v>195</v>
      </c>
      <c r="G73" s="29" t="s">
        <v>191</v>
      </c>
      <c r="H73" s="30" t="s">
        <v>202</v>
      </c>
      <c r="I73" s="49"/>
      <c r="J73" s="49">
        <v>46254.0</v>
      </c>
      <c r="K73" s="29" t="s">
        <v>192</v>
      </c>
      <c r="L73" s="29" t="s">
        <v>184</v>
      </c>
      <c r="M73" s="29" t="s">
        <v>357</v>
      </c>
      <c r="N73" s="34"/>
      <c r="O73" s="31" t="s">
        <v>358</v>
      </c>
      <c r="P73" s="37"/>
      <c r="Q73" s="36"/>
      <c r="R73" s="36"/>
      <c r="S73" s="36"/>
      <c r="T73" s="36"/>
      <c r="U73" s="36"/>
      <c r="V73" s="36"/>
      <c r="W73" s="36"/>
      <c r="X73" s="36"/>
      <c r="Y73" s="36"/>
      <c r="Z73" s="36"/>
      <c r="AA73" s="36"/>
      <c r="AB73" s="36"/>
    </row>
  </sheetData>
  <dataValidations>
    <dataValidation type="list" allowBlank="1" showErrorMessage="1" sqref="G2:G73">
      <formula1>priority</formula1>
    </dataValidation>
    <dataValidation type="list" allowBlank="1" showErrorMessage="1" sqref="H2:H73">
      <formula1>people</formula1>
    </dataValidation>
    <dataValidation type="list" allowBlank="1" showErrorMessage="1" sqref="F2:F73">
      <formula1>status</formula1>
    </dataValidation>
    <dataValidation type="custom" allowBlank="1" showDropDown="1" showInputMessage="1" prompt="Enter a valid date" sqref="I2:J73">
      <formula1>OR(NOT(ISERROR(DATEVALUE(I2))), AND(ISNUMBER(I2), LEFT(CELL("format", I2))="D"))</formula1>
    </dataValidation>
    <dataValidation type="list" allowBlank="1" showErrorMessage="1" sqref="C2:C73">
      <formula1>focus_areas</formula1>
    </dataValidation>
    <dataValidation type="list" allowBlank="1" showErrorMessage="1" sqref="L2:M73">
      <formula1>depts</formula1>
    </dataValidation>
    <dataValidation type="list" allowBlank="1" showErrorMessage="1" sqref="K2:K73">
      <formula1>quarters</formula1>
    </dataValidation>
    <dataValidation type="list" allowBlank="1" showErrorMessage="1" sqref="A2:A73">
      <formula1>strategic_goals</formula1>
    </dataValidation>
    <dataValidation type="list" allowBlank="1" showErrorMessage="1" sqref="B2:B73">
      <formula1>dept_objs_pedagogy</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7" width="12.13"/>
  </cols>
  <sheetData>
    <row r="1">
      <c r="A1" s="51" t="s">
        <v>215</v>
      </c>
      <c r="B1" s="52" t="s">
        <v>216</v>
      </c>
      <c r="C1" s="51" t="s">
        <v>217</v>
      </c>
      <c r="D1" s="51" t="s">
        <v>218</v>
      </c>
      <c r="E1" s="51" t="s">
        <v>219</v>
      </c>
      <c r="F1" s="52" t="s">
        <v>220</v>
      </c>
      <c r="G1" s="52" t="s">
        <v>221</v>
      </c>
      <c r="H1" s="52" t="s">
        <v>222</v>
      </c>
      <c r="I1" s="53" t="s">
        <v>223</v>
      </c>
      <c r="J1" s="51" t="s">
        <v>224</v>
      </c>
      <c r="K1" s="52" t="s">
        <v>225</v>
      </c>
      <c r="L1" s="52" t="s">
        <v>226</v>
      </c>
      <c r="M1" s="52" t="s">
        <v>227</v>
      </c>
      <c r="N1" s="53" t="s">
        <v>228</v>
      </c>
      <c r="O1" s="52" t="s">
        <v>229</v>
      </c>
      <c r="P1" s="54"/>
      <c r="Q1" s="54"/>
      <c r="R1" s="54"/>
      <c r="S1" s="54"/>
      <c r="T1" s="54"/>
      <c r="U1" s="54"/>
      <c r="V1" s="54"/>
      <c r="W1" s="54"/>
      <c r="X1" s="54"/>
      <c r="Y1" s="54"/>
      <c r="Z1" s="54"/>
      <c r="AA1" s="54"/>
    </row>
    <row r="2">
      <c r="A2" s="8" t="s">
        <v>193</v>
      </c>
      <c r="B2" s="8" t="s">
        <v>15</v>
      </c>
      <c r="C2" s="6" t="s">
        <v>91</v>
      </c>
      <c r="D2" s="55" t="s">
        <v>359</v>
      </c>
      <c r="E2" s="55"/>
      <c r="F2" s="8" t="s">
        <v>174</v>
      </c>
      <c r="G2" s="8" t="s">
        <v>186</v>
      </c>
      <c r="H2" s="8" t="s">
        <v>214</v>
      </c>
      <c r="I2" s="56"/>
      <c r="J2" s="57">
        <v>46112.0</v>
      </c>
      <c r="K2" s="8" t="s">
        <v>177</v>
      </c>
      <c r="L2" s="8" t="s">
        <v>176</v>
      </c>
      <c r="M2" s="8" t="s">
        <v>176</v>
      </c>
      <c r="N2" s="56"/>
      <c r="O2" s="58"/>
      <c r="P2" s="56"/>
      <c r="Q2" s="56"/>
      <c r="R2" s="56"/>
      <c r="S2" s="56"/>
      <c r="T2" s="56"/>
      <c r="U2" s="56"/>
      <c r="V2" s="56"/>
      <c r="W2" s="56"/>
      <c r="X2" s="56"/>
      <c r="Y2" s="56"/>
      <c r="Z2" s="56"/>
      <c r="AA2" s="56"/>
    </row>
    <row r="3">
      <c r="A3" s="8" t="s">
        <v>193</v>
      </c>
      <c r="B3" s="8" t="s">
        <v>15</v>
      </c>
      <c r="C3" s="6" t="s">
        <v>91</v>
      </c>
      <c r="D3" s="55" t="s">
        <v>360</v>
      </c>
      <c r="E3" s="55"/>
      <c r="F3" s="8" t="s">
        <v>174</v>
      </c>
      <c r="G3" s="8" t="s">
        <v>186</v>
      </c>
      <c r="H3" s="8" t="s">
        <v>214</v>
      </c>
      <c r="I3" s="56"/>
      <c r="J3" s="57">
        <v>46112.0</v>
      </c>
      <c r="K3" s="8" t="s">
        <v>177</v>
      </c>
      <c r="L3" s="8" t="s">
        <v>176</v>
      </c>
      <c r="M3" s="8" t="s">
        <v>176</v>
      </c>
      <c r="N3" s="56"/>
      <c r="O3" s="58"/>
      <c r="P3" s="56"/>
      <c r="Q3" s="56"/>
      <c r="R3" s="56"/>
      <c r="S3" s="56"/>
      <c r="T3" s="56"/>
      <c r="U3" s="56"/>
      <c r="V3" s="56"/>
      <c r="W3" s="56"/>
      <c r="X3" s="56"/>
      <c r="Y3" s="56"/>
      <c r="Z3" s="56"/>
      <c r="AA3" s="56"/>
    </row>
    <row r="4">
      <c r="A4" s="8" t="s">
        <v>193</v>
      </c>
      <c r="B4" s="8" t="s">
        <v>15</v>
      </c>
      <c r="C4" s="6" t="s">
        <v>91</v>
      </c>
      <c r="D4" s="55" t="s">
        <v>361</v>
      </c>
      <c r="E4" s="55"/>
      <c r="F4" s="8" t="s">
        <v>174</v>
      </c>
      <c r="G4" s="8" t="s">
        <v>186</v>
      </c>
      <c r="H4" s="8" t="s">
        <v>214</v>
      </c>
      <c r="I4" s="56"/>
      <c r="J4" s="57">
        <v>46112.0</v>
      </c>
      <c r="K4" s="8" t="s">
        <v>177</v>
      </c>
      <c r="L4" s="8" t="s">
        <v>176</v>
      </c>
      <c r="M4" s="8" t="s">
        <v>176</v>
      </c>
      <c r="N4" s="56"/>
      <c r="O4" s="58"/>
      <c r="P4" s="56"/>
      <c r="Q4" s="56"/>
      <c r="R4" s="56"/>
      <c r="S4" s="56"/>
      <c r="T4" s="56"/>
      <c r="U4" s="56"/>
      <c r="V4" s="56"/>
      <c r="W4" s="56"/>
      <c r="X4" s="56"/>
      <c r="Y4" s="56"/>
      <c r="Z4" s="56"/>
      <c r="AA4" s="56"/>
    </row>
    <row r="5">
      <c r="A5" s="8" t="s">
        <v>193</v>
      </c>
      <c r="B5" s="8" t="s">
        <v>15</v>
      </c>
      <c r="C5" s="6" t="s">
        <v>91</v>
      </c>
      <c r="D5" s="55" t="s">
        <v>362</v>
      </c>
      <c r="E5" s="55"/>
      <c r="F5" s="8" t="s">
        <v>174</v>
      </c>
      <c r="G5" s="8" t="s">
        <v>186</v>
      </c>
      <c r="H5" s="8" t="s">
        <v>214</v>
      </c>
      <c r="I5" s="56"/>
      <c r="J5" s="57">
        <v>46112.0</v>
      </c>
      <c r="K5" s="8" t="s">
        <v>177</v>
      </c>
      <c r="L5" s="8" t="s">
        <v>176</v>
      </c>
      <c r="M5" s="8" t="s">
        <v>176</v>
      </c>
      <c r="N5" s="56"/>
      <c r="O5" s="58"/>
      <c r="P5" s="56"/>
      <c r="Q5" s="56"/>
      <c r="R5" s="56"/>
      <c r="S5" s="56"/>
      <c r="T5" s="56"/>
      <c r="U5" s="56"/>
      <c r="V5" s="56"/>
      <c r="W5" s="56"/>
      <c r="X5" s="56"/>
      <c r="Y5" s="56"/>
      <c r="Z5" s="56"/>
      <c r="AA5" s="56"/>
    </row>
    <row r="6" hidden="1">
      <c r="A6" s="9" t="s">
        <v>193</v>
      </c>
      <c r="B6" s="9" t="s">
        <v>15</v>
      </c>
      <c r="C6" s="59" t="s">
        <v>91</v>
      </c>
      <c r="D6" s="60"/>
      <c r="E6" s="60"/>
      <c r="F6" s="9" t="s">
        <v>174</v>
      </c>
      <c r="G6" s="9" t="s">
        <v>186</v>
      </c>
      <c r="H6" s="9" t="s">
        <v>214</v>
      </c>
      <c r="I6" s="61"/>
      <c r="J6" s="62">
        <v>46112.0</v>
      </c>
      <c r="K6" s="9" t="s">
        <v>177</v>
      </c>
      <c r="L6" s="9" t="s">
        <v>176</v>
      </c>
      <c r="M6" s="9" t="s">
        <v>176</v>
      </c>
      <c r="N6" s="61"/>
      <c r="O6" s="63"/>
      <c r="P6" s="61"/>
      <c r="Q6" s="61"/>
      <c r="R6" s="61"/>
      <c r="S6" s="61"/>
      <c r="T6" s="61"/>
      <c r="U6" s="61"/>
      <c r="V6" s="61"/>
      <c r="W6" s="61"/>
      <c r="X6" s="61"/>
      <c r="Y6" s="61"/>
      <c r="Z6" s="61"/>
      <c r="AA6" s="61"/>
    </row>
    <row r="7">
      <c r="A7" s="64" t="s">
        <v>193</v>
      </c>
      <c r="B7" s="8" t="s">
        <v>15</v>
      </c>
      <c r="C7" s="6" t="s">
        <v>91</v>
      </c>
      <c r="D7" s="65" t="s">
        <v>363</v>
      </c>
      <c r="E7" s="65" t="s">
        <v>364</v>
      </c>
      <c r="F7" s="64" t="s">
        <v>174</v>
      </c>
      <c r="G7" s="64" t="s">
        <v>186</v>
      </c>
      <c r="H7" s="64" t="s">
        <v>214</v>
      </c>
      <c r="I7" s="66"/>
      <c r="J7" s="67">
        <v>46112.0</v>
      </c>
      <c r="K7" s="64" t="s">
        <v>177</v>
      </c>
      <c r="L7" s="64" t="s">
        <v>176</v>
      </c>
      <c r="M7" s="64" t="s">
        <v>176</v>
      </c>
      <c r="N7" s="66"/>
      <c r="O7" s="68"/>
      <c r="P7" s="66"/>
      <c r="Q7" s="66"/>
      <c r="R7" s="66"/>
      <c r="S7" s="66"/>
      <c r="T7" s="66"/>
      <c r="U7" s="66"/>
      <c r="V7" s="66"/>
      <c r="W7" s="66"/>
      <c r="X7" s="66"/>
      <c r="Y7" s="66"/>
      <c r="Z7" s="66"/>
      <c r="AA7" s="66"/>
    </row>
    <row r="8">
      <c r="A8" s="64" t="s">
        <v>193</v>
      </c>
      <c r="B8" s="8" t="s">
        <v>15</v>
      </c>
      <c r="C8" s="6" t="s">
        <v>91</v>
      </c>
      <c r="D8" s="65" t="s">
        <v>365</v>
      </c>
      <c r="E8" s="65" t="s">
        <v>364</v>
      </c>
      <c r="F8" s="64" t="s">
        <v>174</v>
      </c>
      <c r="G8" s="64" t="s">
        <v>186</v>
      </c>
      <c r="H8" s="64" t="s">
        <v>214</v>
      </c>
      <c r="I8" s="66"/>
      <c r="J8" s="67">
        <v>46112.0</v>
      </c>
      <c r="K8" s="64" t="s">
        <v>177</v>
      </c>
      <c r="L8" s="64" t="s">
        <v>176</v>
      </c>
      <c r="M8" s="64" t="s">
        <v>176</v>
      </c>
      <c r="N8" s="66"/>
      <c r="O8" s="68"/>
      <c r="P8" s="66"/>
      <c r="Q8" s="66"/>
      <c r="R8" s="66"/>
      <c r="S8" s="66"/>
      <c r="T8" s="66"/>
      <c r="U8" s="66"/>
      <c r="V8" s="66"/>
      <c r="W8" s="66"/>
      <c r="X8" s="66"/>
      <c r="Y8" s="66"/>
      <c r="Z8" s="66"/>
      <c r="AA8" s="66"/>
    </row>
    <row r="9">
      <c r="A9" s="64" t="s">
        <v>193</v>
      </c>
      <c r="B9" s="8" t="s">
        <v>15</v>
      </c>
      <c r="C9" s="6" t="s">
        <v>91</v>
      </c>
      <c r="D9" s="65" t="s">
        <v>366</v>
      </c>
      <c r="E9" s="65" t="s">
        <v>364</v>
      </c>
      <c r="F9" s="64" t="s">
        <v>174</v>
      </c>
      <c r="G9" s="64" t="s">
        <v>186</v>
      </c>
      <c r="H9" s="64" t="s">
        <v>214</v>
      </c>
      <c r="I9" s="66"/>
      <c r="J9" s="67">
        <v>46112.0</v>
      </c>
      <c r="K9" s="64" t="s">
        <v>177</v>
      </c>
      <c r="L9" s="64" t="s">
        <v>176</v>
      </c>
      <c r="M9" s="64" t="s">
        <v>176</v>
      </c>
      <c r="N9" s="66"/>
      <c r="O9" s="68"/>
      <c r="P9" s="66"/>
      <c r="Q9" s="66"/>
      <c r="R9" s="66"/>
      <c r="S9" s="66"/>
      <c r="T9" s="66"/>
      <c r="U9" s="66"/>
      <c r="V9" s="66"/>
      <c r="W9" s="66"/>
      <c r="X9" s="66"/>
      <c r="Y9" s="66"/>
      <c r="Z9" s="66"/>
      <c r="AA9" s="66"/>
    </row>
    <row r="10">
      <c r="A10" s="64" t="s">
        <v>193</v>
      </c>
      <c r="B10" s="8" t="s">
        <v>15</v>
      </c>
      <c r="C10" s="6" t="s">
        <v>91</v>
      </c>
      <c r="D10" s="65" t="s">
        <v>365</v>
      </c>
      <c r="E10" s="65" t="s">
        <v>364</v>
      </c>
      <c r="F10" s="64" t="s">
        <v>174</v>
      </c>
      <c r="G10" s="64" t="s">
        <v>186</v>
      </c>
      <c r="H10" s="64" t="s">
        <v>214</v>
      </c>
      <c r="I10" s="66"/>
      <c r="J10" s="67">
        <v>46112.0</v>
      </c>
      <c r="K10" s="64" t="s">
        <v>177</v>
      </c>
      <c r="L10" s="64" t="s">
        <v>176</v>
      </c>
      <c r="M10" s="64" t="s">
        <v>176</v>
      </c>
      <c r="N10" s="66"/>
      <c r="O10" s="68"/>
      <c r="P10" s="66"/>
      <c r="Q10" s="66"/>
      <c r="R10" s="66"/>
      <c r="S10" s="66"/>
      <c r="T10" s="66"/>
      <c r="U10" s="66"/>
      <c r="V10" s="66"/>
      <c r="W10" s="66"/>
      <c r="X10" s="66"/>
      <c r="Y10" s="66"/>
      <c r="Z10" s="66"/>
      <c r="AA10" s="66"/>
    </row>
    <row r="11" hidden="1">
      <c r="A11" s="8" t="s">
        <v>193</v>
      </c>
      <c r="B11" s="8" t="s">
        <v>15</v>
      </c>
      <c r="C11" s="6" t="s">
        <v>91</v>
      </c>
      <c r="D11" s="8"/>
      <c r="E11" s="8"/>
      <c r="F11" s="8" t="s">
        <v>174</v>
      </c>
      <c r="G11" s="8" t="s">
        <v>186</v>
      </c>
      <c r="H11" s="8" t="s">
        <v>214</v>
      </c>
      <c r="I11" s="56"/>
      <c r="J11" s="57">
        <v>46112.0</v>
      </c>
      <c r="K11" s="8" t="s">
        <v>177</v>
      </c>
      <c r="L11" s="8" t="s">
        <v>176</v>
      </c>
      <c r="M11" s="8" t="s">
        <v>176</v>
      </c>
      <c r="N11" s="56"/>
      <c r="O11" s="58"/>
      <c r="P11" s="56"/>
      <c r="Q11" s="56"/>
      <c r="R11" s="56"/>
      <c r="S11" s="56"/>
      <c r="T11" s="56"/>
      <c r="U11" s="56"/>
      <c r="V11" s="56"/>
      <c r="W11" s="56"/>
      <c r="X11" s="56"/>
      <c r="Y11" s="56"/>
      <c r="Z11" s="56"/>
      <c r="AA11" s="56"/>
    </row>
    <row r="12">
      <c r="A12" s="64" t="s">
        <v>199</v>
      </c>
      <c r="B12" s="6" t="s">
        <v>21</v>
      </c>
      <c r="C12" s="6" t="s">
        <v>21</v>
      </c>
      <c r="D12" s="65" t="s">
        <v>367</v>
      </c>
      <c r="E12" s="65" t="s">
        <v>368</v>
      </c>
      <c r="F12" s="64" t="s">
        <v>174</v>
      </c>
      <c r="G12" s="64" t="s">
        <v>175</v>
      </c>
      <c r="H12" s="64" t="s">
        <v>211</v>
      </c>
      <c r="I12" s="66"/>
      <c r="J12" s="67">
        <v>46112.0</v>
      </c>
      <c r="K12" s="64" t="s">
        <v>177</v>
      </c>
      <c r="L12" s="64" t="s">
        <v>7</v>
      </c>
      <c r="M12" s="64" t="s">
        <v>7</v>
      </c>
      <c r="N12" s="66"/>
      <c r="O12" s="68"/>
      <c r="P12" s="66"/>
      <c r="Q12" s="66"/>
      <c r="R12" s="66"/>
      <c r="S12" s="66"/>
      <c r="T12" s="66"/>
      <c r="U12" s="66"/>
      <c r="V12" s="66"/>
      <c r="W12" s="66"/>
      <c r="X12" s="66"/>
      <c r="Y12" s="66"/>
      <c r="Z12" s="66"/>
      <c r="AA12" s="66"/>
    </row>
    <row r="13">
      <c r="A13" s="8" t="s">
        <v>183</v>
      </c>
      <c r="B13" s="6" t="s">
        <v>28</v>
      </c>
      <c r="C13" s="6" t="s">
        <v>28</v>
      </c>
      <c r="D13" s="8" t="s">
        <v>369</v>
      </c>
      <c r="E13" s="8"/>
      <c r="F13" s="8" t="s">
        <v>180</v>
      </c>
      <c r="G13" s="8" t="s">
        <v>175</v>
      </c>
      <c r="H13" s="8" t="s">
        <v>211</v>
      </c>
      <c r="I13" s="56"/>
      <c r="J13" s="57">
        <v>46024.0</v>
      </c>
      <c r="K13" s="8" t="s">
        <v>177</v>
      </c>
      <c r="L13" s="8" t="s">
        <v>176</v>
      </c>
      <c r="M13" s="8" t="s">
        <v>176</v>
      </c>
      <c r="N13" s="56"/>
      <c r="O13" s="58"/>
      <c r="P13" s="56"/>
      <c r="Q13" s="56"/>
      <c r="R13" s="56"/>
      <c r="S13" s="56"/>
      <c r="T13" s="56"/>
      <c r="U13" s="56"/>
      <c r="V13" s="56"/>
      <c r="W13" s="56"/>
      <c r="X13" s="56"/>
      <c r="Y13" s="56"/>
      <c r="Z13" s="56"/>
      <c r="AA13" s="56"/>
    </row>
    <row r="14">
      <c r="A14" s="8" t="s">
        <v>183</v>
      </c>
      <c r="B14" s="6" t="s">
        <v>28</v>
      </c>
      <c r="C14" s="6" t="s">
        <v>28</v>
      </c>
      <c r="D14" s="8" t="s">
        <v>370</v>
      </c>
      <c r="E14" s="8"/>
      <c r="F14" s="8" t="s">
        <v>180</v>
      </c>
      <c r="G14" s="8" t="s">
        <v>175</v>
      </c>
      <c r="H14" s="8" t="s">
        <v>211</v>
      </c>
      <c r="I14" s="56"/>
      <c r="J14" s="57">
        <v>46072.0</v>
      </c>
      <c r="K14" s="8" t="s">
        <v>177</v>
      </c>
      <c r="L14" s="8" t="s">
        <v>176</v>
      </c>
      <c r="M14" s="8" t="s">
        <v>176</v>
      </c>
      <c r="N14" s="56"/>
      <c r="O14" s="58"/>
      <c r="P14" s="56"/>
      <c r="Q14" s="56"/>
      <c r="R14" s="56"/>
      <c r="S14" s="56"/>
      <c r="T14" s="56"/>
      <c r="U14" s="56"/>
      <c r="V14" s="56"/>
      <c r="W14" s="56"/>
      <c r="X14" s="56"/>
      <c r="Y14" s="56"/>
      <c r="Z14" s="56"/>
      <c r="AA14" s="56"/>
    </row>
    <row r="15">
      <c r="A15" s="8" t="s">
        <v>183</v>
      </c>
      <c r="B15" s="6" t="s">
        <v>28</v>
      </c>
      <c r="C15" s="6" t="s">
        <v>28</v>
      </c>
      <c r="D15" s="8" t="s">
        <v>371</v>
      </c>
      <c r="E15" s="8"/>
      <c r="F15" s="8" t="s">
        <v>174</v>
      </c>
      <c r="G15" s="8" t="s">
        <v>175</v>
      </c>
      <c r="H15" s="8" t="s">
        <v>211</v>
      </c>
      <c r="I15" s="56"/>
      <c r="J15" s="57">
        <v>46295.0</v>
      </c>
      <c r="K15" s="8" t="s">
        <v>187</v>
      </c>
      <c r="L15" s="8" t="s">
        <v>176</v>
      </c>
      <c r="M15" s="8" t="s">
        <v>176</v>
      </c>
      <c r="N15" s="56"/>
      <c r="O15" s="58"/>
      <c r="P15" s="56"/>
      <c r="Q15" s="56"/>
      <c r="R15" s="56"/>
      <c r="S15" s="56"/>
      <c r="T15" s="56"/>
      <c r="U15" s="56"/>
      <c r="V15" s="56"/>
      <c r="W15" s="56"/>
      <c r="X15" s="56"/>
      <c r="Y15" s="56"/>
      <c r="Z15" s="56"/>
      <c r="AA15" s="56"/>
    </row>
    <row r="16">
      <c r="A16" s="8" t="s">
        <v>183</v>
      </c>
      <c r="B16" s="6" t="s">
        <v>28</v>
      </c>
      <c r="C16" s="6" t="s">
        <v>28</v>
      </c>
      <c r="D16" s="8" t="s">
        <v>371</v>
      </c>
      <c r="E16" s="8"/>
      <c r="F16" s="8" t="s">
        <v>174</v>
      </c>
      <c r="G16" s="8" t="s">
        <v>175</v>
      </c>
      <c r="H16" s="8" t="s">
        <v>211</v>
      </c>
      <c r="I16" s="56"/>
      <c r="J16" s="57">
        <v>46387.0</v>
      </c>
      <c r="K16" s="8" t="s">
        <v>192</v>
      </c>
      <c r="L16" s="8" t="s">
        <v>176</v>
      </c>
      <c r="M16" s="8" t="s">
        <v>176</v>
      </c>
      <c r="N16" s="56"/>
      <c r="O16" s="58"/>
      <c r="P16" s="56"/>
      <c r="Q16" s="56"/>
      <c r="R16" s="56"/>
      <c r="S16" s="56"/>
      <c r="T16" s="56"/>
      <c r="U16" s="56"/>
      <c r="V16" s="56"/>
      <c r="W16" s="56"/>
      <c r="X16" s="56"/>
      <c r="Y16" s="56"/>
      <c r="Z16" s="56"/>
      <c r="AA16" s="56"/>
    </row>
    <row r="17">
      <c r="A17" s="8" t="s">
        <v>199</v>
      </c>
      <c r="B17" s="8" t="s">
        <v>36</v>
      </c>
      <c r="C17" s="6" t="s">
        <v>12</v>
      </c>
      <c r="D17" s="69" t="s">
        <v>372</v>
      </c>
      <c r="E17" s="69" t="s">
        <v>373</v>
      </c>
      <c r="F17" s="8" t="s">
        <v>185</v>
      </c>
      <c r="G17" s="8" t="s">
        <v>175</v>
      </c>
      <c r="H17" s="8" t="s">
        <v>211</v>
      </c>
      <c r="I17" s="56"/>
      <c r="J17" s="57">
        <v>46112.0</v>
      </c>
      <c r="K17" s="8" t="s">
        <v>177</v>
      </c>
      <c r="L17" s="8" t="s">
        <v>374</v>
      </c>
      <c r="M17" s="8" t="s">
        <v>374</v>
      </c>
      <c r="N17" s="56"/>
      <c r="O17" s="58"/>
      <c r="P17" s="56"/>
      <c r="Q17" s="56"/>
      <c r="R17" s="56"/>
      <c r="S17" s="56"/>
      <c r="T17" s="56"/>
      <c r="U17" s="56"/>
      <c r="V17" s="56"/>
      <c r="W17" s="56"/>
      <c r="X17" s="56"/>
      <c r="Y17" s="56"/>
      <c r="Z17" s="56"/>
      <c r="AA17" s="56"/>
    </row>
    <row r="18">
      <c r="A18" s="8" t="s">
        <v>199</v>
      </c>
      <c r="B18" s="8" t="s">
        <v>36</v>
      </c>
      <c r="C18" s="6" t="s">
        <v>12</v>
      </c>
      <c r="D18" s="6" t="s">
        <v>375</v>
      </c>
      <c r="E18" s="6" t="s">
        <v>376</v>
      </c>
      <c r="F18" s="8" t="s">
        <v>185</v>
      </c>
      <c r="G18" s="8" t="s">
        <v>175</v>
      </c>
      <c r="H18" s="8" t="s">
        <v>211</v>
      </c>
      <c r="I18" s="56"/>
      <c r="J18" s="57">
        <v>46112.0</v>
      </c>
      <c r="K18" s="8" t="s">
        <v>177</v>
      </c>
      <c r="L18" s="8" t="s">
        <v>374</v>
      </c>
      <c r="M18" s="8" t="s">
        <v>374</v>
      </c>
      <c r="N18" s="56"/>
      <c r="O18" s="58"/>
      <c r="P18" s="56"/>
      <c r="Q18" s="56"/>
      <c r="R18" s="56"/>
      <c r="S18" s="56"/>
      <c r="T18" s="56"/>
      <c r="U18" s="56"/>
      <c r="V18" s="56"/>
      <c r="W18" s="56"/>
      <c r="X18" s="56"/>
      <c r="Y18" s="56"/>
      <c r="Z18" s="56"/>
      <c r="AA18" s="56"/>
    </row>
    <row r="19">
      <c r="A19" s="8" t="s">
        <v>193</v>
      </c>
      <c r="B19" s="6" t="s">
        <v>44</v>
      </c>
      <c r="C19" s="6" t="s">
        <v>116</v>
      </c>
      <c r="D19" s="6" t="s">
        <v>377</v>
      </c>
      <c r="E19" s="6"/>
      <c r="F19" s="8" t="s">
        <v>185</v>
      </c>
      <c r="G19" s="8" t="s">
        <v>186</v>
      </c>
      <c r="H19" s="8" t="s">
        <v>211</v>
      </c>
      <c r="I19" s="56"/>
      <c r="J19" s="70">
        <v>46081.0</v>
      </c>
      <c r="K19" s="8" t="s">
        <v>177</v>
      </c>
      <c r="L19" s="71" t="s">
        <v>378</v>
      </c>
      <c r="M19" s="8" t="s">
        <v>176</v>
      </c>
      <c r="N19" s="56"/>
      <c r="O19" s="58"/>
      <c r="P19" s="56"/>
      <c r="Q19" s="56"/>
      <c r="R19" s="56"/>
      <c r="S19" s="56"/>
      <c r="T19" s="56"/>
      <c r="U19" s="56"/>
      <c r="V19" s="56"/>
      <c r="W19" s="56"/>
      <c r="X19" s="56"/>
      <c r="Y19" s="56"/>
      <c r="Z19" s="56"/>
      <c r="AA19" s="56"/>
    </row>
    <row r="20">
      <c r="A20" s="8" t="s">
        <v>193</v>
      </c>
      <c r="B20" s="6" t="s">
        <v>44</v>
      </c>
      <c r="C20" s="6" t="s">
        <v>116</v>
      </c>
      <c r="D20" s="6" t="s">
        <v>379</v>
      </c>
      <c r="E20" s="8" t="s">
        <v>380</v>
      </c>
      <c r="F20" s="8" t="s">
        <v>185</v>
      </c>
      <c r="G20" s="8" t="s">
        <v>186</v>
      </c>
      <c r="H20" s="8" t="s">
        <v>211</v>
      </c>
      <c r="I20" s="56"/>
      <c r="J20" s="70">
        <v>46081.0</v>
      </c>
      <c r="K20" s="8" t="s">
        <v>177</v>
      </c>
      <c r="L20" s="71" t="s">
        <v>378</v>
      </c>
      <c r="M20" s="8" t="s">
        <v>176</v>
      </c>
      <c r="N20" s="56"/>
      <c r="O20" s="58"/>
      <c r="P20" s="56"/>
      <c r="Q20" s="56"/>
      <c r="R20" s="56"/>
      <c r="S20" s="56"/>
      <c r="T20" s="56"/>
      <c r="U20" s="56"/>
      <c r="V20" s="56"/>
      <c r="W20" s="56"/>
      <c r="X20" s="56"/>
      <c r="Y20" s="56"/>
      <c r="Z20" s="56"/>
      <c r="AA20" s="56"/>
    </row>
    <row r="21">
      <c r="A21" s="8" t="s">
        <v>193</v>
      </c>
      <c r="B21" s="6" t="s">
        <v>51</v>
      </c>
      <c r="C21" s="6" t="s">
        <v>381</v>
      </c>
      <c r="D21" s="6" t="s">
        <v>382</v>
      </c>
      <c r="E21" s="8"/>
      <c r="F21" s="8" t="s">
        <v>174</v>
      </c>
      <c r="G21" s="8" t="s">
        <v>191</v>
      </c>
      <c r="H21" s="8" t="s">
        <v>214</v>
      </c>
      <c r="I21" s="56"/>
      <c r="J21" s="57">
        <v>46112.0</v>
      </c>
      <c r="K21" s="8" t="s">
        <v>177</v>
      </c>
      <c r="L21" s="8" t="s">
        <v>1</v>
      </c>
      <c r="M21" s="8" t="s">
        <v>1</v>
      </c>
      <c r="N21" s="56"/>
      <c r="O21" s="58"/>
      <c r="P21" s="56"/>
      <c r="Q21" s="56"/>
      <c r="R21" s="56"/>
      <c r="S21" s="56"/>
      <c r="T21" s="56"/>
      <c r="U21" s="56"/>
      <c r="V21" s="56"/>
      <c r="W21" s="56"/>
      <c r="X21" s="56"/>
      <c r="Y21" s="56"/>
      <c r="Z21" s="56"/>
      <c r="AA21" s="56"/>
    </row>
    <row r="22">
      <c r="A22" s="8" t="s">
        <v>193</v>
      </c>
      <c r="B22" s="6" t="s">
        <v>51</v>
      </c>
      <c r="C22" s="6" t="s">
        <v>381</v>
      </c>
      <c r="D22" s="6" t="s">
        <v>383</v>
      </c>
      <c r="E22" s="6" t="s">
        <v>384</v>
      </c>
      <c r="F22" s="8" t="s">
        <v>174</v>
      </c>
      <c r="G22" s="8" t="s">
        <v>191</v>
      </c>
      <c r="H22" s="8" t="s">
        <v>214</v>
      </c>
      <c r="I22" s="56"/>
      <c r="J22" s="57">
        <v>46112.0</v>
      </c>
      <c r="K22" s="8" t="s">
        <v>177</v>
      </c>
      <c r="L22" s="8" t="s">
        <v>1</v>
      </c>
      <c r="M22" s="8" t="s">
        <v>1</v>
      </c>
      <c r="N22" s="56"/>
      <c r="O22" s="58"/>
      <c r="P22" s="56"/>
      <c r="Q22" s="56"/>
      <c r="R22" s="56"/>
      <c r="S22" s="56"/>
      <c r="T22" s="56"/>
      <c r="U22" s="56"/>
      <c r="V22" s="56"/>
      <c r="W22" s="56"/>
      <c r="X22" s="56"/>
      <c r="Y22" s="56"/>
      <c r="Z22" s="56"/>
      <c r="AA22" s="56"/>
    </row>
    <row r="23">
      <c r="A23" s="8" t="s">
        <v>193</v>
      </c>
      <c r="B23" s="6" t="s">
        <v>51</v>
      </c>
      <c r="C23" s="6" t="s">
        <v>381</v>
      </c>
      <c r="D23" s="6" t="s">
        <v>385</v>
      </c>
      <c r="E23" s="8"/>
      <c r="F23" s="8" t="s">
        <v>174</v>
      </c>
      <c r="G23" s="8" t="s">
        <v>191</v>
      </c>
      <c r="H23" s="8" t="s">
        <v>214</v>
      </c>
      <c r="I23" s="56"/>
      <c r="J23" s="57">
        <v>46112.0</v>
      </c>
      <c r="K23" s="8" t="s">
        <v>177</v>
      </c>
      <c r="L23" s="8" t="s">
        <v>1</v>
      </c>
      <c r="M23" s="8" t="s">
        <v>1</v>
      </c>
      <c r="N23" s="56"/>
      <c r="O23" s="58"/>
      <c r="P23" s="56"/>
      <c r="Q23" s="56"/>
      <c r="R23" s="56"/>
      <c r="S23" s="56"/>
      <c r="T23" s="56"/>
      <c r="U23" s="56"/>
      <c r="V23" s="56"/>
      <c r="W23" s="56"/>
      <c r="X23" s="56"/>
      <c r="Y23" s="56"/>
      <c r="Z23" s="56"/>
      <c r="AA23" s="56"/>
    </row>
    <row r="24">
      <c r="A24" s="8" t="s">
        <v>193</v>
      </c>
      <c r="B24" s="6" t="s">
        <v>51</v>
      </c>
      <c r="C24" s="6" t="s">
        <v>381</v>
      </c>
      <c r="D24" s="6" t="s">
        <v>386</v>
      </c>
      <c r="E24" s="6" t="s">
        <v>384</v>
      </c>
      <c r="F24" s="8" t="s">
        <v>174</v>
      </c>
      <c r="G24" s="8" t="s">
        <v>191</v>
      </c>
      <c r="H24" s="8" t="s">
        <v>214</v>
      </c>
      <c r="I24" s="56"/>
      <c r="J24" s="57">
        <v>46112.0</v>
      </c>
      <c r="K24" s="8" t="s">
        <v>177</v>
      </c>
      <c r="L24" s="8" t="s">
        <v>1</v>
      </c>
      <c r="M24" s="8" t="s">
        <v>1</v>
      </c>
      <c r="N24" s="56"/>
      <c r="O24" s="58"/>
      <c r="P24" s="56"/>
      <c r="Q24" s="56"/>
      <c r="R24" s="56"/>
      <c r="S24" s="56"/>
      <c r="T24" s="56"/>
      <c r="U24" s="56"/>
      <c r="V24" s="56"/>
      <c r="W24" s="56"/>
      <c r="X24" s="56"/>
      <c r="Y24" s="56"/>
      <c r="Z24" s="56"/>
      <c r="AA24" s="56"/>
    </row>
    <row r="25">
      <c r="A25" s="8" t="s">
        <v>193</v>
      </c>
      <c r="B25" s="6" t="s">
        <v>51</v>
      </c>
      <c r="C25" s="6" t="s">
        <v>381</v>
      </c>
      <c r="D25" s="6" t="s">
        <v>387</v>
      </c>
      <c r="E25" s="8"/>
      <c r="F25" s="8" t="s">
        <v>174</v>
      </c>
      <c r="G25" s="8" t="s">
        <v>191</v>
      </c>
      <c r="H25" s="8" t="s">
        <v>214</v>
      </c>
      <c r="I25" s="56"/>
      <c r="J25" s="57">
        <v>46112.0</v>
      </c>
      <c r="K25" s="8" t="s">
        <v>177</v>
      </c>
      <c r="L25" s="8" t="s">
        <v>1</v>
      </c>
      <c r="M25" s="8" t="s">
        <v>1</v>
      </c>
      <c r="N25" s="56"/>
      <c r="O25" s="58"/>
      <c r="P25" s="56"/>
      <c r="Q25" s="56"/>
      <c r="R25" s="56"/>
      <c r="S25" s="56"/>
      <c r="T25" s="56"/>
      <c r="U25" s="56"/>
      <c r="V25" s="56"/>
      <c r="W25" s="56"/>
      <c r="X25" s="56"/>
      <c r="Y25" s="56"/>
      <c r="Z25" s="56"/>
      <c r="AA25" s="56"/>
    </row>
    <row r="26">
      <c r="A26" s="8" t="s">
        <v>193</v>
      </c>
      <c r="B26" s="6" t="s">
        <v>51</v>
      </c>
      <c r="C26" s="6" t="s">
        <v>381</v>
      </c>
      <c r="D26" s="6" t="s">
        <v>388</v>
      </c>
      <c r="E26" s="6" t="s">
        <v>384</v>
      </c>
      <c r="F26" s="8" t="s">
        <v>174</v>
      </c>
      <c r="G26" s="8" t="s">
        <v>191</v>
      </c>
      <c r="H26" s="8" t="s">
        <v>214</v>
      </c>
      <c r="I26" s="56"/>
      <c r="J26" s="57">
        <v>46112.0</v>
      </c>
      <c r="K26" s="8" t="s">
        <v>177</v>
      </c>
      <c r="L26" s="8" t="s">
        <v>1</v>
      </c>
      <c r="M26" s="8" t="s">
        <v>1</v>
      </c>
      <c r="N26" s="56"/>
      <c r="O26" s="58"/>
      <c r="P26" s="56"/>
      <c r="Q26" s="56"/>
      <c r="R26" s="56"/>
      <c r="S26" s="56"/>
      <c r="T26" s="56"/>
      <c r="U26" s="56"/>
      <c r="V26" s="56"/>
      <c r="W26" s="56"/>
      <c r="X26" s="56"/>
      <c r="Y26" s="56"/>
      <c r="Z26" s="56"/>
      <c r="AA26" s="56"/>
    </row>
    <row r="27">
      <c r="A27" s="8" t="s">
        <v>199</v>
      </c>
      <c r="B27" s="6" t="s">
        <v>51</v>
      </c>
      <c r="C27" s="6" t="s">
        <v>389</v>
      </c>
      <c r="D27" s="6" t="s">
        <v>390</v>
      </c>
      <c r="E27" s="8"/>
      <c r="F27" s="8" t="s">
        <v>174</v>
      </c>
      <c r="G27" s="8" t="s">
        <v>181</v>
      </c>
      <c r="H27" s="8" t="s">
        <v>179</v>
      </c>
      <c r="I27" s="56"/>
      <c r="J27" s="57">
        <v>46081.0</v>
      </c>
      <c r="K27" s="8" t="s">
        <v>177</v>
      </c>
      <c r="L27" s="8" t="s">
        <v>1</v>
      </c>
      <c r="M27" s="8" t="s">
        <v>1</v>
      </c>
      <c r="N27" s="56"/>
      <c r="O27" s="58"/>
      <c r="P27" s="56"/>
      <c r="Q27" s="56"/>
      <c r="R27" s="56"/>
      <c r="S27" s="56"/>
      <c r="T27" s="56"/>
      <c r="U27" s="56"/>
      <c r="V27" s="56"/>
      <c r="W27" s="56"/>
      <c r="X27" s="56"/>
      <c r="Y27" s="56"/>
      <c r="Z27" s="56"/>
      <c r="AA27" s="56"/>
    </row>
    <row r="28">
      <c r="A28" s="8" t="s">
        <v>199</v>
      </c>
      <c r="B28" s="6" t="s">
        <v>51</v>
      </c>
      <c r="C28" s="6" t="s">
        <v>389</v>
      </c>
      <c r="D28" s="6" t="s">
        <v>391</v>
      </c>
      <c r="E28" s="6" t="s">
        <v>384</v>
      </c>
      <c r="F28" s="8" t="s">
        <v>174</v>
      </c>
      <c r="G28" s="8" t="s">
        <v>181</v>
      </c>
      <c r="H28" s="8" t="s">
        <v>179</v>
      </c>
      <c r="I28" s="56"/>
      <c r="J28" s="57">
        <v>46081.0</v>
      </c>
      <c r="K28" s="8" t="s">
        <v>177</v>
      </c>
      <c r="L28" s="8" t="s">
        <v>1</v>
      </c>
      <c r="M28" s="8" t="s">
        <v>1</v>
      </c>
      <c r="N28" s="56"/>
      <c r="O28" s="58"/>
      <c r="P28" s="56"/>
      <c r="Q28" s="56"/>
      <c r="R28" s="56"/>
      <c r="S28" s="56"/>
      <c r="T28" s="56"/>
      <c r="U28" s="56"/>
      <c r="V28" s="56"/>
      <c r="W28" s="56"/>
      <c r="X28" s="56"/>
      <c r="Y28" s="56"/>
      <c r="Z28" s="56"/>
      <c r="AA28" s="56"/>
    </row>
    <row r="29">
      <c r="A29" s="8" t="s">
        <v>193</v>
      </c>
      <c r="B29" s="6" t="s">
        <v>51</v>
      </c>
      <c r="C29" s="6" t="s">
        <v>124</v>
      </c>
      <c r="D29" s="6" t="s">
        <v>392</v>
      </c>
      <c r="E29" s="6"/>
      <c r="F29" s="8" t="s">
        <v>174</v>
      </c>
      <c r="G29" s="8" t="s">
        <v>186</v>
      </c>
      <c r="H29" s="8" t="s">
        <v>179</v>
      </c>
      <c r="I29" s="56"/>
      <c r="J29" s="57">
        <v>46112.0</v>
      </c>
      <c r="K29" s="6" t="s">
        <v>182</v>
      </c>
      <c r="L29" s="8" t="s">
        <v>300</v>
      </c>
      <c r="M29" s="8" t="s">
        <v>300</v>
      </c>
      <c r="N29" s="56"/>
      <c r="O29" s="58"/>
      <c r="P29" s="56"/>
      <c r="Q29" s="56"/>
      <c r="R29" s="56"/>
      <c r="S29" s="56"/>
      <c r="T29" s="56"/>
      <c r="U29" s="56"/>
      <c r="V29" s="56"/>
      <c r="W29" s="56"/>
      <c r="X29" s="56"/>
      <c r="Y29" s="56"/>
      <c r="Z29" s="56"/>
      <c r="AA29" s="56"/>
    </row>
    <row r="30">
      <c r="A30" s="8" t="s">
        <v>193</v>
      </c>
      <c r="B30" s="6" t="s">
        <v>51</v>
      </c>
      <c r="C30" s="6" t="s">
        <v>124</v>
      </c>
      <c r="D30" s="6" t="s">
        <v>393</v>
      </c>
      <c r="E30" s="6" t="s">
        <v>384</v>
      </c>
      <c r="F30" s="8" t="s">
        <v>174</v>
      </c>
      <c r="G30" s="8" t="s">
        <v>186</v>
      </c>
      <c r="H30" s="8" t="s">
        <v>179</v>
      </c>
      <c r="I30" s="56"/>
      <c r="J30" s="57">
        <v>46112.0</v>
      </c>
      <c r="K30" s="6" t="s">
        <v>182</v>
      </c>
      <c r="L30" s="8" t="s">
        <v>300</v>
      </c>
      <c r="M30" s="8" t="s">
        <v>300</v>
      </c>
      <c r="N30" s="56"/>
      <c r="O30" s="58"/>
      <c r="P30" s="56"/>
      <c r="Q30" s="56"/>
      <c r="R30" s="56"/>
      <c r="S30" s="56"/>
      <c r="T30" s="56"/>
      <c r="U30" s="56"/>
      <c r="V30" s="56"/>
      <c r="W30" s="56"/>
      <c r="X30" s="56"/>
      <c r="Y30" s="56"/>
      <c r="Z30" s="56"/>
      <c r="AA30" s="56"/>
    </row>
    <row r="31">
      <c r="A31" s="8" t="s">
        <v>193</v>
      </c>
      <c r="B31" s="6" t="s">
        <v>51</v>
      </c>
      <c r="C31" s="6" t="s">
        <v>124</v>
      </c>
      <c r="D31" s="6" t="s">
        <v>394</v>
      </c>
      <c r="E31" s="6"/>
      <c r="F31" s="8" t="s">
        <v>174</v>
      </c>
      <c r="G31" s="8" t="s">
        <v>186</v>
      </c>
      <c r="H31" s="8" t="s">
        <v>179</v>
      </c>
      <c r="I31" s="56"/>
      <c r="J31" s="57">
        <v>46112.0</v>
      </c>
      <c r="K31" s="6" t="s">
        <v>187</v>
      </c>
      <c r="L31" s="8" t="s">
        <v>300</v>
      </c>
      <c r="M31" s="8" t="s">
        <v>300</v>
      </c>
      <c r="N31" s="56"/>
      <c r="O31" s="58"/>
      <c r="P31" s="56"/>
      <c r="Q31" s="56"/>
      <c r="R31" s="56"/>
      <c r="S31" s="56"/>
      <c r="T31" s="56"/>
      <c r="U31" s="56"/>
      <c r="V31" s="56"/>
      <c r="W31" s="56"/>
      <c r="X31" s="56"/>
      <c r="Y31" s="56"/>
      <c r="Z31" s="56"/>
      <c r="AA31" s="56"/>
    </row>
    <row r="32">
      <c r="A32" s="8" t="s">
        <v>193</v>
      </c>
      <c r="B32" s="6" t="s">
        <v>51</v>
      </c>
      <c r="C32" s="6" t="s">
        <v>124</v>
      </c>
      <c r="D32" s="6" t="s">
        <v>395</v>
      </c>
      <c r="E32" s="6" t="s">
        <v>384</v>
      </c>
      <c r="F32" s="8" t="s">
        <v>174</v>
      </c>
      <c r="G32" s="8" t="s">
        <v>186</v>
      </c>
      <c r="H32" s="8" t="s">
        <v>179</v>
      </c>
      <c r="I32" s="56"/>
      <c r="J32" s="57">
        <v>46112.0</v>
      </c>
      <c r="K32" s="6" t="s">
        <v>187</v>
      </c>
      <c r="L32" s="8" t="s">
        <v>300</v>
      </c>
      <c r="M32" s="8" t="s">
        <v>300</v>
      </c>
      <c r="N32" s="56"/>
      <c r="O32" s="58"/>
      <c r="P32" s="56"/>
      <c r="Q32" s="56"/>
      <c r="R32" s="56"/>
      <c r="S32" s="56"/>
      <c r="T32" s="56"/>
      <c r="U32" s="56"/>
      <c r="V32" s="56"/>
      <c r="W32" s="56"/>
      <c r="X32" s="56"/>
      <c r="Y32" s="56"/>
      <c r="Z32" s="56"/>
      <c r="AA32" s="56"/>
    </row>
    <row r="33">
      <c r="A33" s="8" t="s">
        <v>193</v>
      </c>
      <c r="B33" s="6" t="s">
        <v>51</v>
      </c>
      <c r="C33" s="6" t="s">
        <v>124</v>
      </c>
      <c r="D33" s="6" t="s">
        <v>396</v>
      </c>
      <c r="E33" s="6"/>
      <c r="F33" s="8" t="s">
        <v>174</v>
      </c>
      <c r="G33" s="8" t="s">
        <v>186</v>
      </c>
      <c r="H33" s="8" t="s">
        <v>179</v>
      </c>
      <c r="I33" s="56"/>
      <c r="J33" s="57">
        <v>46112.0</v>
      </c>
      <c r="K33" s="8" t="s">
        <v>177</v>
      </c>
      <c r="L33" s="8" t="s">
        <v>300</v>
      </c>
      <c r="M33" s="8" t="s">
        <v>300</v>
      </c>
      <c r="N33" s="56"/>
      <c r="O33" s="58"/>
      <c r="P33" s="56"/>
      <c r="Q33" s="56"/>
      <c r="R33" s="56"/>
      <c r="S33" s="56"/>
      <c r="T33" s="56"/>
      <c r="U33" s="56"/>
      <c r="V33" s="56"/>
      <c r="W33" s="56"/>
      <c r="X33" s="56"/>
      <c r="Y33" s="56"/>
      <c r="Z33" s="56"/>
      <c r="AA33" s="56"/>
    </row>
    <row r="34">
      <c r="A34" s="8" t="s">
        <v>193</v>
      </c>
      <c r="B34" s="6" t="s">
        <v>51</v>
      </c>
      <c r="C34" s="6" t="s">
        <v>124</v>
      </c>
      <c r="D34" s="6" t="s">
        <v>397</v>
      </c>
      <c r="E34" s="6" t="s">
        <v>384</v>
      </c>
      <c r="F34" s="8" t="s">
        <v>174</v>
      </c>
      <c r="G34" s="8" t="s">
        <v>186</v>
      </c>
      <c r="H34" s="8" t="s">
        <v>179</v>
      </c>
      <c r="I34" s="56"/>
      <c r="J34" s="57">
        <v>46112.0</v>
      </c>
      <c r="K34" s="8" t="s">
        <v>177</v>
      </c>
      <c r="L34" s="8" t="s">
        <v>300</v>
      </c>
      <c r="M34" s="8" t="s">
        <v>300</v>
      </c>
      <c r="N34" s="56"/>
      <c r="O34" s="58"/>
      <c r="P34" s="56"/>
      <c r="Q34" s="56"/>
      <c r="R34" s="56"/>
      <c r="S34" s="56"/>
      <c r="T34" s="56"/>
      <c r="U34" s="56"/>
      <c r="V34" s="56"/>
      <c r="W34" s="56"/>
      <c r="X34" s="56"/>
      <c r="Y34" s="56"/>
      <c r="Z34" s="56"/>
      <c r="AA34" s="56"/>
    </row>
    <row r="35">
      <c r="A35" s="8" t="s">
        <v>188</v>
      </c>
      <c r="B35" s="6" t="s">
        <v>58</v>
      </c>
      <c r="C35" s="6" t="s">
        <v>132</v>
      </c>
      <c r="D35" s="6" t="s">
        <v>398</v>
      </c>
      <c r="E35" s="8"/>
      <c r="F35" s="8" t="s">
        <v>174</v>
      </c>
      <c r="G35" s="8" t="s">
        <v>181</v>
      </c>
      <c r="H35" s="8" t="s">
        <v>211</v>
      </c>
      <c r="I35" s="56"/>
      <c r="J35" s="57">
        <v>46203.0</v>
      </c>
      <c r="K35" s="8" t="s">
        <v>182</v>
      </c>
      <c r="L35" s="8" t="s">
        <v>2</v>
      </c>
      <c r="M35" s="8" t="s">
        <v>2</v>
      </c>
      <c r="N35" s="56"/>
      <c r="O35" s="58"/>
      <c r="P35" s="56"/>
      <c r="Q35" s="56"/>
      <c r="R35" s="56"/>
      <c r="S35" s="56"/>
      <c r="T35" s="56"/>
      <c r="U35" s="56"/>
      <c r="V35" s="56"/>
      <c r="W35" s="56"/>
      <c r="X35" s="56"/>
      <c r="Y35" s="56"/>
      <c r="Z35" s="56"/>
      <c r="AA35" s="56"/>
    </row>
    <row r="36">
      <c r="A36" s="8" t="s">
        <v>188</v>
      </c>
      <c r="B36" s="6" t="s">
        <v>58</v>
      </c>
      <c r="C36" s="6" t="s">
        <v>132</v>
      </c>
      <c r="D36" s="6" t="s">
        <v>399</v>
      </c>
      <c r="E36" s="8"/>
      <c r="F36" s="8" t="s">
        <v>174</v>
      </c>
      <c r="G36" s="8" t="s">
        <v>181</v>
      </c>
      <c r="H36" s="8" t="s">
        <v>211</v>
      </c>
      <c r="I36" s="56"/>
      <c r="J36" s="72">
        <v>46356.0</v>
      </c>
      <c r="K36" s="6" t="s">
        <v>192</v>
      </c>
      <c r="L36" s="8" t="s">
        <v>2</v>
      </c>
      <c r="M36" s="8" t="s">
        <v>2</v>
      </c>
      <c r="N36" s="56"/>
      <c r="O36" s="58"/>
      <c r="P36" s="56"/>
      <c r="Q36" s="56"/>
      <c r="R36" s="56"/>
      <c r="S36" s="56"/>
      <c r="T36" s="56"/>
      <c r="U36" s="56"/>
      <c r="V36" s="56"/>
      <c r="W36" s="56"/>
      <c r="X36" s="56"/>
      <c r="Y36" s="56"/>
      <c r="Z36" s="56"/>
      <c r="AA36" s="56"/>
    </row>
    <row r="37">
      <c r="A37" s="8" t="s">
        <v>188</v>
      </c>
      <c r="B37" s="6" t="s">
        <v>58</v>
      </c>
      <c r="C37" s="6" t="s">
        <v>132</v>
      </c>
      <c r="D37" s="6" t="s">
        <v>400</v>
      </c>
      <c r="E37" s="8"/>
      <c r="F37" s="8" t="s">
        <v>174</v>
      </c>
      <c r="G37" s="8" t="s">
        <v>181</v>
      </c>
      <c r="H37" s="8" t="s">
        <v>211</v>
      </c>
      <c r="I37" s="56"/>
      <c r="J37" s="57">
        <v>46203.0</v>
      </c>
      <c r="K37" s="8" t="s">
        <v>182</v>
      </c>
      <c r="L37" s="8" t="s">
        <v>2</v>
      </c>
      <c r="M37" s="8" t="s">
        <v>2</v>
      </c>
      <c r="N37" s="56"/>
      <c r="O37" s="58"/>
      <c r="P37" s="56"/>
      <c r="Q37" s="56"/>
      <c r="R37" s="56"/>
      <c r="S37" s="56"/>
      <c r="T37" s="56"/>
      <c r="U37" s="56"/>
      <c r="V37" s="56"/>
      <c r="W37" s="56"/>
      <c r="X37" s="56"/>
      <c r="Y37" s="56"/>
      <c r="Z37" s="56"/>
      <c r="AA37" s="56"/>
    </row>
    <row r="38">
      <c r="A38" s="8" t="s">
        <v>188</v>
      </c>
      <c r="B38" s="6" t="s">
        <v>58</v>
      </c>
      <c r="C38" s="6" t="s">
        <v>132</v>
      </c>
      <c r="D38" s="6" t="s">
        <v>401</v>
      </c>
      <c r="E38" s="8"/>
      <c r="F38" s="8" t="s">
        <v>174</v>
      </c>
      <c r="G38" s="8" t="s">
        <v>181</v>
      </c>
      <c r="H38" s="8" t="s">
        <v>211</v>
      </c>
      <c r="I38" s="56"/>
      <c r="J38" s="72">
        <v>46356.0</v>
      </c>
      <c r="K38" s="6" t="s">
        <v>192</v>
      </c>
      <c r="L38" s="8" t="s">
        <v>2</v>
      </c>
      <c r="M38" s="8" t="s">
        <v>2</v>
      </c>
      <c r="N38" s="56"/>
      <c r="O38" s="58"/>
      <c r="P38" s="56"/>
      <c r="Q38" s="56"/>
      <c r="R38" s="56"/>
      <c r="S38" s="56"/>
      <c r="T38" s="56"/>
      <c r="U38" s="56"/>
      <c r="V38" s="56"/>
      <c r="W38" s="56"/>
      <c r="X38" s="56"/>
      <c r="Y38" s="56"/>
      <c r="Z38" s="56"/>
      <c r="AA38" s="56"/>
    </row>
    <row r="39">
      <c r="A39" s="8" t="s">
        <v>199</v>
      </c>
      <c r="B39" s="8" t="s">
        <v>63</v>
      </c>
      <c r="C39" s="6" t="s">
        <v>107</v>
      </c>
      <c r="D39" s="8" t="s">
        <v>402</v>
      </c>
      <c r="E39" s="8"/>
      <c r="F39" s="8" t="s">
        <v>174</v>
      </c>
      <c r="G39" s="8" t="s">
        <v>181</v>
      </c>
      <c r="H39" s="8" t="s">
        <v>211</v>
      </c>
      <c r="I39" s="56"/>
      <c r="J39" s="57">
        <v>46173.0</v>
      </c>
      <c r="K39" s="8" t="s">
        <v>182</v>
      </c>
      <c r="L39" s="8" t="s">
        <v>6</v>
      </c>
      <c r="M39" s="8" t="s">
        <v>403</v>
      </c>
      <c r="N39" s="56"/>
      <c r="O39" s="58"/>
      <c r="P39" s="56"/>
      <c r="Q39" s="56"/>
      <c r="R39" s="56"/>
      <c r="S39" s="56"/>
      <c r="T39" s="56"/>
      <c r="U39" s="56"/>
      <c r="V39" s="56"/>
      <c r="W39" s="56"/>
      <c r="X39" s="56"/>
      <c r="Y39" s="56"/>
      <c r="Z39" s="56"/>
      <c r="AA39" s="56"/>
    </row>
    <row r="40">
      <c r="A40" s="8" t="s">
        <v>199</v>
      </c>
      <c r="B40" s="8" t="s">
        <v>63</v>
      </c>
      <c r="C40" s="6" t="s">
        <v>107</v>
      </c>
      <c r="D40" s="8" t="s">
        <v>404</v>
      </c>
      <c r="E40" s="8"/>
      <c r="F40" s="8" t="s">
        <v>185</v>
      </c>
      <c r="G40" s="8" t="s">
        <v>181</v>
      </c>
      <c r="H40" s="8" t="s">
        <v>211</v>
      </c>
      <c r="I40" s="56"/>
      <c r="J40" s="57">
        <v>46173.0</v>
      </c>
      <c r="K40" s="8" t="s">
        <v>182</v>
      </c>
      <c r="L40" s="8" t="s">
        <v>7</v>
      </c>
      <c r="M40" s="8" t="s">
        <v>403</v>
      </c>
      <c r="N40" s="56"/>
      <c r="O40" s="58"/>
      <c r="P40" s="56"/>
      <c r="Q40" s="56"/>
      <c r="R40" s="56"/>
      <c r="S40" s="56"/>
      <c r="T40" s="56"/>
      <c r="U40" s="56"/>
      <c r="V40" s="56"/>
      <c r="W40" s="56"/>
      <c r="X40" s="56"/>
      <c r="Y40" s="56"/>
      <c r="Z40" s="56"/>
      <c r="AA40" s="56"/>
    </row>
    <row r="41">
      <c r="A41" s="8" t="s">
        <v>199</v>
      </c>
      <c r="B41" s="8" t="s">
        <v>63</v>
      </c>
      <c r="C41" s="6" t="s">
        <v>107</v>
      </c>
      <c r="D41" s="8" t="s">
        <v>405</v>
      </c>
      <c r="E41" s="8"/>
      <c r="F41" s="8" t="s">
        <v>174</v>
      </c>
      <c r="G41" s="8" t="s">
        <v>181</v>
      </c>
      <c r="H41" s="8" t="s">
        <v>211</v>
      </c>
      <c r="I41" s="56"/>
      <c r="J41" s="57">
        <v>46178.0</v>
      </c>
      <c r="K41" s="8" t="s">
        <v>182</v>
      </c>
      <c r="L41" s="8" t="s">
        <v>406</v>
      </c>
      <c r="M41" s="8" t="s">
        <v>403</v>
      </c>
      <c r="N41" s="56"/>
      <c r="O41" s="58"/>
      <c r="P41" s="56"/>
      <c r="Q41" s="56"/>
      <c r="R41" s="56"/>
      <c r="S41" s="56"/>
      <c r="T41" s="56"/>
      <c r="U41" s="56"/>
      <c r="V41" s="56"/>
      <c r="W41" s="56"/>
      <c r="X41" s="56"/>
      <c r="Y41" s="56"/>
      <c r="Z41" s="56"/>
      <c r="AA41" s="56"/>
    </row>
    <row r="42">
      <c r="A42" s="8" t="s">
        <v>199</v>
      </c>
      <c r="B42" s="8" t="s">
        <v>63</v>
      </c>
      <c r="C42" s="6" t="s">
        <v>107</v>
      </c>
      <c r="D42" s="8" t="s">
        <v>407</v>
      </c>
      <c r="E42" s="8"/>
      <c r="F42" s="8" t="s">
        <v>185</v>
      </c>
      <c r="G42" s="8" t="s">
        <v>181</v>
      </c>
      <c r="H42" s="8" t="s">
        <v>211</v>
      </c>
      <c r="I42" s="56"/>
      <c r="J42" s="57">
        <v>46185.0</v>
      </c>
      <c r="K42" s="8" t="s">
        <v>182</v>
      </c>
      <c r="L42" s="8" t="s">
        <v>406</v>
      </c>
      <c r="M42" s="8" t="s">
        <v>403</v>
      </c>
      <c r="N42" s="56"/>
      <c r="O42" s="58"/>
      <c r="P42" s="56"/>
      <c r="Q42" s="56"/>
      <c r="R42" s="56"/>
      <c r="S42" s="56"/>
      <c r="T42" s="56"/>
      <c r="U42" s="56"/>
      <c r="V42" s="56"/>
      <c r="W42" s="56"/>
      <c r="X42" s="56"/>
      <c r="Y42" s="56"/>
      <c r="Z42" s="56"/>
      <c r="AA42" s="56"/>
    </row>
    <row r="43">
      <c r="A43" s="8" t="s">
        <v>199</v>
      </c>
      <c r="B43" s="8" t="s">
        <v>63</v>
      </c>
      <c r="C43" s="6" t="s">
        <v>107</v>
      </c>
      <c r="D43" s="8" t="s">
        <v>408</v>
      </c>
      <c r="E43" s="8"/>
      <c r="F43" s="8" t="s">
        <v>185</v>
      </c>
      <c r="G43" s="8" t="s">
        <v>181</v>
      </c>
      <c r="H43" s="8" t="s">
        <v>211</v>
      </c>
      <c r="I43" s="56"/>
      <c r="J43" s="57">
        <v>46191.0</v>
      </c>
      <c r="K43" s="8" t="s">
        <v>182</v>
      </c>
      <c r="L43" s="8" t="s">
        <v>403</v>
      </c>
      <c r="M43" s="8" t="s">
        <v>403</v>
      </c>
      <c r="N43" s="56"/>
      <c r="O43" s="58"/>
      <c r="P43" s="56"/>
      <c r="Q43" s="56"/>
      <c r="R43" s="56"/>
      <c r="S43" s="56"/>
      <c r="T43" s="56"/>
      <c r="U43" s="56"/>
      <c r="V43" s="56"/>
      <c r="W43" s="56"/>
      <c r="X43" s="56"/>
      <c r="Y43" s="56"/>
      <c r="Z43" s="56"/>
      <c r="AA43" s="56"/>
    </row>
    <row r="44">
      <c r="A44" s="8" t="s">
        <v>199</v>
      </c>
      <c r="B44" s="8" t="s">
        <v>63</v>
      </c>
      <c r="C44" s="6" t="s">
        <v>1</v>
      </c>
      <c r="D44" s="8" t="s">
        <v>408</v>
      </c>
      <c r="E44" s="8"/>
      <c r="F44" s="8" t="s">
        <v>185</v>
      </c>
      <c r="G44" s="8" t="s">
        <v>181</v>
      </c>
      <c r="H44" s="8" t="s">
        <v>211</v>
      </c>
      <c r="I44" s="56"/>
      <c r="J44" s="57">
        <v>46191.0</v>
      </c>
      <c r="K44" s="8" t="s">
        <v>182</v>
      </c>
      <c r="L44" s="8" t="s">
        <v>403</v>
      </c>
      <c r="M44" s="8" t="s">
        <v>403</v>
      </c>
      <c r="N44" s="56"/>
      <c r="O44" s="58"/>
      <c r="P44" s="56"/>
      <c r="Q44" s="56"/>
      <c r="R44" s="56"/>
      <c r="S44" s="56"/>
      <c r="T44" s="56"/>
      <c r="U44" s="56"/>
      <c r="V44" s="56"/>
      <c r="W44" s="56"/>
      <c r="X44" s="56"/>
      <c r="Y44" s="56"/>
      <c r="Z44" s="56"/>
      <c r="AA44" s="56"/>
    </row>
    <row r="45">
      <c r="A45" s="6" t="s">
        <v>188</v>
      </c>
      <c r="B45" s="8" t="s">
        <v>63</v>
      </c>
      <c r="C45" s="6" t="s">
        <v>409</v>
      </c>
      <c r="D45" s="8" t="s">
        <v>410</v>
      </c>
      <c r="E45" s="8"/>
      <c r="F45" s="8" t="s">
        <v>174</v>
      </c>
      <c r="G45" s="8" t="s">
        <v>181</v>
      </c>
      <c r="H45" s="8" t="s">
        <v>211</v>
      </c>
      <c r="I45" s="56"/>
      <c r="J45" s="57">
        <v>46203.0</v>
      </c>
      <c r="K45" s="8" t="s">
        <v>182</v>
      </c>
      <c r="L45" s="8" t="s">
        <v>6</v>
      </c>
      <c r="M45" s="8" t="s">
        <v>411</v>
      </c>
      <c r="N45" s="56"/>
      <c r="O45" s="58"/>
      <c r="P45" s="56"/>
      <c r="Q45" s="56"/>
      <c r="R45" s="56"/>
      <c r="S45" s="56"/>
      <c r="T45" s="56"/>
      <c r="U45" s="56"/>
      <c r="V45" s="56"/>
      <c r="W45" s="56"/>
      <c r="X45" s="56"/>
      <c r="Y45" s="56"/>
      <c r="Z45" s="56"/>
      <c r="AA45" s="56"/>
    </row>
    <row r="46">
      <c r="A46" s="6" t="s">
        <v>188</v>
      </c>
      <c r="B46" s="8" t="s">
        <v>63</v>
      </c>
      <c r="C46" s="6" t="s">
        <v>409</v>
      </c>
      <c r="D46" s="8" t="s">
        <v>410</v>
      </c>
      <c r="E46" s="8"/>
      <c r="F46" s="8" t="s">
        <v>174</v>
      </c>
      <c r="G46" s="8" t="s">
        <v>181</v>
      </c>
      <c r="H46" s="8" t="s">
        <v>211</v>
      </c>
      <c r="I46" s="56"/>
      <c r="J46" s="57">
        <v>46213.0</v>
      </c>
      <c r="K46" s="8" t="s">
        <v>187</v>
      </c>
      <c r="L46" s="8" t="s">
        <v>6</v>
      </c>
      <c r="M46" s="8" t="s">
        <v>411</v>
      </c>
      <c r="N46" s="56"/>
      <c r="O46" s="58"/>
      <c r="P46" s="56"/>
      <c r="Q46" s="56"/>
      <c r="R46" s="56"/>
      <c r="S46" s="56"/>
      <c r="T46" s="56"/>
      <c r="U46" s="56"/>
      <c r="V46" s="56"/>
      <c r="W46" s="56"/>
      <c r="X46" s="56"/>
      <c r="Y46" s="56"/>
      <c r="Z46" s="56"/>
      <c r="AA46" s="56"/>
    </row>
    <row r="47">
      <c r="A47" s="6" t="s">
        <v>188</v>
      </c>
      <c r="B47" s="8" t="s">
        <v>63</v>
      </c>
      <c r="C47" s="6" t="s">
        <v>409</v>
      </c>
      <c r="D47" s="8" t="s">
        <v>410</v>
      </c>
      <c r="E47" s="8"/>
      <c r="F47" s="8" t="s">
        <v>174</v>
      </c>
      <c r="G47" s="8" t="s">
        <v>181</v>
      </c>
      <c r="H47" s="8" t="s">
        <v>211</v>
      </c>
      <c r="I47" s="56"/>
      <c r="J47" s="57">
        <v>46223.0</v>
      </c>
      <c r="K47" s="8" t="s">
        <v>187</v>
      </c>
      <c r="L47" s="8" t="s">
        <v>6</v>
      </c>
      <c r="M47" s="8" t="s">
        <v>411</v>
      </c>
      <c r="N47" s="56"/>
      <c r="O47" s="58"/>
      <c r="P47" s="56"/>
      <c r="Q47" s="56"/>
      <c r="R47" s="56"/>
      <c r="S47" s="56"/>
      <c r="T47" s="56"/>
      <c r="U47" s="56"/>
      <c r="V47" s="56"/>
      <c r="W47" s="56"/>
      <c r="X47" s="56"/>
      <c r="Y47" s="56"/>
      <c r="Z47" s="56"/>
      <c r="AA47" s="56"/>
    </row>
    <row r="48">
      <c r="A48" s="6" t="s">
        <v>188</v>
      </c>
      <c r="B48" s="8" t="s">
        <v>63</v>
      </c>
      <c r="C48" s="6" t="s">
        <v>409</v>
      </c>
      <c r="D48" s="8" t="s">
        <v>410</v>
      </c>
      <c r="E48" s="8"/>
      <c r="F48" s="8" t="s">
        <v>174</v>
      </c>
      <c r="G48" s="8" t="s">
        <v>181</v>
      </c>
      <c r="H48" s="8" t="s">
        <v>211</v>
      </c>
      <c r="I48" s="56"/>
      <c r="J48" s="57">
        <v>46225.0</v>
      </c>
      <c r="K48" s="8" t="s">
        <v>187</v>
      </c>
      <c r="L48" s="8" t="s">
        <v>6</v>
      </c>
      <c r="M48" s="8" t="s">
        <v>411</v>
      </c>
      <c r="N48" s="56"/>
      <c r="O48" s="58"/>
      <c r="P48" s="56"/>
      <c r="Q48" s="56"/>
      <c r="R48" s="56"/>
      <c r="S48" s="56"/>
      <c r="T48" s="56"/>
      <c r="U48" s="56"/>
      <c r="V48" s="56"/>
      <c r="W48" s="56"/>
      <c r="X48" s="56"/>
      <c r="Y48" s="56"/>
      <c r="Z48" s="56"/>
      <c r="AA48" s="56"/>
    </row>
    <row r="49">
      <c r="A49" s="8" t="s">
        <v>199</v>
      </c>
      <c r="B49" s="8" t="s">
        <v>63</v>
      </c>
      <c r="C49" s="6" t="s">
        <v>107</v>
      </c>
      <c r="D49" s="8" t="s">
        <v>412</v>
      </c>
      <c r="E49" s="8"/>
      <c r="F49" s="8" t="s">
        <v>185</v>
      </c>
      <c r="G49" s="8" t="s">
        <v>181</v>
      </c>
      <c r="H49" s="8" t="s">
        <v>211</v>
      </c>
      <c r="I49" s="56"/>
      <c r="J49" s="57">
        <v>46247.0</v>
      </c>
      <c r="K49" s="8" t="s">
        <v>187</v>
      </c>
      <c r="L49" s="8" t="s">
        <v>406</v>
      </c>
      <c r="M49" s="8" t="s">
        <v>403</v>
      </c>
      <c r="N49" s="56"/>
      <c r="O49" s="58"/>
      <c r="P49" s="56"/>
      <c r="Q49" s="56"/>
      <c r="R49" s="56"/>
      <c r="S49" s="56"/>
      <c r="T49" s="56"/>
      <c r="U49" s="56"/>
      <c r="V49" s="56"/>
      <c r="W49" s="56"/>
      <c r="X49" s="56"/>
      <c r="Y49" s="56"/>
      <c r="Z49" s="56"/>
      <c r="AA49" s="56"/>
    </row>
    <row r="50">
      <c r="A50" s="8" t="s">
        <v>199</v>
      </c>
      <c r="B50" s="8" t="s">
        <v>63</v>
      </c>
      <c r="C50" s="6" t="s">
        <v>107</v>
      </c>
      <c r="D50" s="73" t="s">
        <v>413</v>
      </c>
      <c r="E50" s="73"/>
      <c r="F50" s="8" t="s">
        <v>174</v>
      </c>
      <c r="G50" s="8" t="s">
        <v>181</v>
      </c>
      <c r="H50" s="8" t="s">
        <v>211</v>
      </c>
      <c r="I50" s="56"/>
      <c r="J50" s="57">
        <v>46265.0</v>
      </c>
      <c r="K50" s="8" t="s">
        <v>187</v>
      </c>
      <c r="L50" s="74"/>
      <c r="M50" s="8" t="s">
        <v>411</v>
      </c>
      <c r="N50" s="56"/>
      <c r="O50" s="58"/>
      <c r="P50" s="56"/>
      <c r="Q50" s="56"/>
      <c r="R50" s="56"/>
      <c r="S50" s="56"/>
      <c r="T50" s="56"/>
      <c r="U50" s="56"/>
      <c r="V50" s="56"/>
      <c r="W50" s="56"/>
      <c r="X50" s="56"/>
      <c r="Y50" s="56"/>
      <c r="Z50" s="56"/>
      <c r="AA50" s="56"/>
    </row>
    <row r="51">
      <c r="A51" s="8" t="s">
        <v>199</v>
      </c>
      <c r="B51" s="8" t="s">
        <v>63</v>
      </c>
      <c r="C51" s="6" t="s">
        <v>107</v>
      </c>
      <c r="D51" s="8" t="s">
        <v>414</v>
      </c>
      <c r="E51" s="8"/>
      <c r="F51" s="8" t="s">
        <v>174</v>
      </c>
      <c r="G51" s="8" t="s">
        <v>181</v>
      </c>
      <c r="H51" s="8" t="s">
        <v>211</v>
      </c>
      <c r="I51" s="56"/>
      <c r="J51" s="57">
        <v>46265.0</v>
      </c>
      <c r="K51" s="8" t="s">
        <v>187</v>
      </c>
      <c r="L51" s="74"/>
      <c r="M51" s="8" t="s">
        <v>411</v>
      </c>
      <c r="N51" s="56"/>
      <c r="O51" s="58"/>
      <c r="P51" s="56"/>
      <c r="Q51" s="56"/>
      <c r="R51" s="56"/>
      <c r="S51" s="56"/>
      <c r="T51" s="56"/>
      <c r="U51" s="56"/>
      <c r="V51" s="56"/>
      <c r="W51" s="56"/>
      <c r="X51" s="56"/>
      <c r="Y51" s="56"/>
      <c r="Z51" s="56"/>
      <c r="AA51" s="56"/>
    </row>
    <row r="52">
      <c r="A52" s="8" t="s">
        <v>199</v>
      </c>
      <c r="B52" s="6" t="s">
        <v>51</v>
      </c>
      <c r="C52" s="6" t="s">
        <v>107</v>
      </c>
      <c r="D52" s="6" t="s">
        <v>415</v>
      </c>
      <c r="E52" s="8"/>
      <c r="F52" s="8" t="s">
        <v>174</v>
      </c>
      <c r="G52" s="8" t="s">
        <v>181</v>
      </c>
      <c r="H52" s="8" t="s">
        <v>211</v>
      </c>
      <c r="I52" s="56"/>
      <c r="J52" s="57">
        <v>46265.0</v>
      </c>
      <c r="K52" s="8" t="s">
        <v>187</v>
      </c>
      <c r="L52" s="8" t="s">
        <v>265</v>
      </c>
      <c r="M52" s="8" t="s">
        <v>411</v>
      </c>
      <c r="N52" s="56"/>
      <c r="O52" s="58"/>
      <c r="P52" s="56"/>
      <c r="Q52" s="56"/>
      <c r="R52" s="56"/>
      <c r="S52" s="56"/>
      <c r="T52" s="56"/>
      <c r="U52" s="56"/>
      <c r="V52" s="56"/>
      <c r="W52" s="56"/>
      <c r="X52" s="56"/>
      <c r="Y52" s="56"/>
      <c r="Z52" s="56"/>
      <c r="AA52" s="56"/>
    </row>
    <row r="53">
      <c r="A53" s="8" t="s">
        <v>199</v>
      </c>
      <c r="B53" s="6" t="s">
        <v>51</v>
      </c>
      <c r="C53" s="6" t="s">
        <v>107</v>
      </c>
      <c r="D53" s="6" t="s">
        <v>416</v>
      </c>
      <c r="E53" s="8"/>
      <c r="F53" s="8" t="s">
        <v>174</v>
      </c>
      <c r="G53" s="8" t="s">
        <v>181</v>
      </c>
      <c r="H53" s="8" t="s">
        <v>211</v>
      </c>
      <c r="I53" s="56"/>
      <c r="J53" s="57">
        <v>46265.0</v>
      </c>
      <c r="K53" s="8" t="s">
        <v>187</v>
      </c>
      <c r="L53" s="8" t="s">
        <v>265</v>
      </c>
      <c r="M53" s="8" t="s">
        <v>411</v>
      </c>
      <c r="N53" s="56"/>
      <c r="O53" s="58"/>
      <c r="P53" s="56"/>
      <c r="Q53" s="56"/>
      <c r="R53" s="56"/>
      <c r="S53" s="56"/>
      <c r="T53" s="56"/>
      <c r="U53" s="56"/>
      <c r="V53" s="56"/>
      <c r="W53" s="56"/>
      <c r="X53" s="56"/>
      <c r="Y53" s="56"/>
      <c r="Z53" s="56"/>
      <c r="AA53" s="56"/>
    </row>
    <row r="54">
      <c r="A54" s="8" t="s">
        <v>199</v>
      </c>
      <c r="B54" s="8" t="s">
        <v>63</v>
      </c>
      <c r="C54" s="6" t="s">
        <v>1</v>
      </c>
      <c r="D54" s="6" t="s">
        <v>417</v>
      </c>
      <c r="E54" s="8"/>
      <c r="F54" s="8" t="s">
        <v>174</v>
      </c>
      <c r="G54" s="8" t="s">
        <v>181</v>
      </c>
      <c r="H54" s="8" t="s">
        <v>211</v>
      </c>
      <c r="I54" s="56"/>
      <c r="J54" s="57">
        <v>46279.0</v>
      </c>
      <c r="K54" s="8" t="s">
        <v>187</v>
      </c>
      <c r="L54" s="74"/>
      <c r="M54" s="8" t="s">
        <v>411</v>
      </c>
      <c r="N54" s="56"/>
      <c r="O54" s="58"/>
      <c r="P54" s="56"/>
      <c r="Q54" s="56"/>
      <c r="R54" s="56"/>
      <c r="S54" s="56"/>
      <c r="T54" s="56"/>
      <c r="U54" s="56"/>
      <c r="V54" s="56"/>
      <c r="W54" s="56"/>
      <c r="X54" s="56"/>
      <c r="Y54" s="56"/>
      <c r="Z54" s="56"/>
      <c r="AA54" s="56"/>
    </row>
    <row r="55">
      <c r="A55" s="8" t="s">
        <v>199</v>
      </c>
      <c r="B55" s="8" t="s">
        <v>63</v>
      </c>
      <c r="C55" s="6" t="s">
        <v>107</v>
      </c>
      <c r="D55" s="6" t="s">
        <v>418</v>
      </c>
      <c r="E55" s="8"/>
      <c r="F55" s="8" t="s">
        <v>174</v>
      </c>
      <c r="G55" s="8" t="s">
        <v>181</v>
      </c>
      <c r="H55" s="8" t="s">
        <v>211</v>
      </c>
      <c r="I55" s="56"/>
      <c r="J55" s="57">
        <v>46279.0</v>
      </c>
      <c r="K55" s="8" t="s">
        <v>187</v>
      </c>
      <c r="L55" s="74"/>
      <c r="M55" s="8" t="s">
        <v>411</v>
      </c>
      <c r="N55" s="56"/>
      <c r="O55" s="58"/>
      <c r="P55" s="56"/>
      <c r="Q55" s="56"/>
      <c r="R55" s="56"/>
      <c r="S55" s="56"/>
      <c r="T55" s="56"/>
      <c r="U55" s="56"/>
      <c r="V55" s="56"/>
      <c r="W55" s="56"/>
      <c r="X55" s="56"/>
      <c r="Y55" s="56"/>
      <c r="Z55" s="56"/>
      <c r="AA55" s="56"/>
    </row>
    <row r="56">
      <c r="A56" s="8" t="s">
        <v>183</v>
      </c>
      <c r="B56" s="6" t="s">
        <v>44</v>
      </c>
      <c r="C56" s="71" t="s">
        <v>147</v>
      </c>
      <c r="D56" s="6" t="s">
        <v>242</v>
      </c>
      <c r="E56" s="8"/>
      <c r="F56" s="8" t="s">
        <v>174</v>
      </c>
      <c r="G56" s="8" t="s">
        <v>181</v>
      </c>
      <c r="H56" s="8" t="s">
        <v>211</v>
      </c>
      <c r="I56" s="56"/>
      <c r="J56" s="57">
        <v>46112.0</v>
      </c>
      <c r="K56" s="8" t="s">
        <v>177</v>
      </c>
      <c r="L56" s="8" t="s">
        <v>419</v>
      </c>
      <c r="M56" s="8" t="s">
        <v>419</v>
      </c>
      <c r="N56" s="56"/>
      <c r="O56" s="58"/>
      <c r="P56" s="56"/>
      <c r="Q56" s="56"/>
      <c r="R56" s="56"/>
      <c r="S56" s="56"/>
      <c r="T56" s="56"/>
      <c r="U56" s="56"/>
      <c r="V56" s="56"/>
      <c r="W56" s="56"/>
      <c r="X56" s="56"/>
      <c r="Y56" s="56"/>
      <c r="Z56" s="56"/>
      <c r="AA56" s="56"/>
    </row>
    <row r="57">
      <c r="A57" s="8" t="s">
        <v>183</v>
      </c>
      <c r="B57" s="6" t="s">
        <v>44</v>
      </c>
      <c r="C57" s="71" t="s">
        <v>147</v>
      </c>
      <c r="D57" s="6" t="s">
        <v>420</v>
      </c>
      <c r="E57" s="8"/>
      <c r="F57" s="8" t="s">
        <v>174</v>
      </c>
      <c r="G57" s="8" t="s">
        <v>181</v>
      </c>
      <c r="H57" s="8" t="s">
        <v>211</v>
      </c>
      <c r="I57" s="56"/>
      <c r="J57" s="57">
        <v>46142.0</v>
      </c>
      <c r="K57" s="8" t="s">
        <v>182</v>
      </c>
      <c r="L57" s="8" t="s">
        <v>419</v>
      </c>
      <c r="M57" s="8" t="s">
        <v>419</v>
      </c>
      <c r="N57" s="56"/>
      <c r="O57" s="58"/>
      <c r="P57" s="56"/>
      <c r="Q57" s="56"/>
      <c r="R57" s="56"/>
      <c r="S57" s="56"/>
      <c r="T57" s="56"/>
      <c r="U57" s="56"/>
      <c r="V57" s="56"/>
      <c r="W57" s="56"/>
      <c r="X57" s="56"/>
      <c r="Y57" s="56"/>
      <c r="Z57" s="56"/>
      <c r="AA57" s="56"/>
    </row>
    <row r="58">
      <c r="A58" s="8" t="s">
        <v>183</v>
      </c>
      <c r="B58" s="6" t="s">
        <v>44</v>
      </c>
      <c r="C58" s="71" t="s">
        <v>147</v>
      </c>
      <c r="D58" s="6" t="s">
        <v>245</v>
      </c>
      <c r="E58" s="8"/>
      <c r="F58" s="8" t="s">
        <v>174</v>
      </c>
      <c r="G58" s="8" t="s">
        <v>181</v>
      </c>
      <c r="H58" s="8" t="s">
        <v>211</v>
      </c>
      <c r="I58" s="56"/>
      <c r="J58" s="57">
        <v>46203.0</v>
      </c>
      <c r="K58" s="8" t="s">
        <v>182</v>
      </c>
      <c r="L58" s="8" t="s">
        <v>421</v>
      </c>
      <c r="M58" s="8" t="s">
        <v>419</v>
      </c>
      <c r="N58" s="56"/>
      <c r="O58" s="58"/>
      <c r="P58" s="56"/>
      <c r="Q58" s="56"/>
      <c r="R58" s="56"/>
      <c r="S58" s="56"/>
      <c r="T58" s="56"/>
      <c r="U58" s="56"/>
      <c r="V58" s="56"/>
      <c r="W58" s="56"/>
      <c r="X58" s="56"/>
      <c r="Y58" s="56"/>
      <c r="Z58" s="56"/>
      <c r="AA58" s="56"/>
    </row>
    <row r="59">
      <c r="A59" s="8" t="s">
        <v>193</v>
      </c>
      <c r="B59" s="6" t="s">
        <v>44</v>
      </c>
      <c r="C59" s="71" t="s">
        <v>152</v>
      </c>
      <c r="D59" s="8" t="s">
        <v>422</v>
      </c>
      <c r="E59" s="8"/>
      <c r="F59" s="8" t="s">
        <v>174</v>
      </c>
      <c r="G59" s="8" t="s">
        <v>186</v>
      </c>
      <c r="H59" s="8" t="s">
        <v>211</v>
      </c>
      <c r="I59" s="56"/>
      <c r="J59" s="57">
        <v>46295.0</v>
      </c>
      <c r="K59" s="8" t="s">
        <v>187</v>
      </c>
      <c r="L59" s="8" t="s">
        <v>378</v>
      </c>
      <c r="M59" s="8" t="s">
        <v>378</v>
      </c>
      <c r="N59" s="56"/>
      <c r="O59" s="58"/>
      <c r="P59" s="56"/>
      <c r="Q59" s="56"/>
      <c r="R59" s="56"/>
      <c r="S59" s="56"/>
      <c r="T59" s="56"/>
      <c r="U59" s="56"/>
      <c r="V59" s="56"/>
      <c r="W59" s="56"/>
      <c r="X59" s="56"/>
      <c r="Y59" s="56"/>
      <c r="Z59" s="56"/>
      <c r="AA59" s="56"/>
    </row>
    <row r="60">
      <c r="A60" s="8" t="s">
        <v>193</v>
      </c>
      <c r="B60" s="6" t="s">
        <v>36</v>
      </c>
      <c r="C60" s="71" t="s">
        <v>107</v>
      </c>
      <c r="D60" s="8" t="s">
        <v>423</v>
      </c>
      <c r="E60" s="8"/>
      <c r="F60" s="8" t="s">
        <v>180</v>
      </c>
      <c r="G60" s="8" t="s">
        <v>186</v>
      </c>
      <c r="H60" s="8" t="s">
        <v>179</v>
      </c>
      <c r="I60" s="56"/>
      <c r="J60" s="57">
        <v>46112.0</v>
      </c>
      <c r="K60" s="8" t="s">
        <v>177</v>
      </c>
      <c r="L60" s="74"/>
      <c r="M60" s="74"/>
      <c r="N60" s="56"/>
      <c r="O60" s="58"/>
      <c r="P60" s="56"/>
      <c r="Q60" s="56"/>
      <c r="R60" s="56"/>
      <c r="S60" s="56"/>
      <c r="T60" s="56"/>
      <c r="U60" s="56"/>
      <c r="V60" s="56"/>
      <c r="W60" s="56"/>
      <c r="X60" s="56"/>
      <c r="Y60" s="56"/>
      <c r="Z60" s="56"/>
      <c r="AA60" s="56"/>
    </row>
    <row r="61">
      <c r="A61" s="64" t="s">
        <v>193</v>
      </c>
      <c r="B61" s="65" t="s">
        <v>68</v>
      </c>
      <c r="C61" s="75" t="s">
        <v>157</v>
      </c>
      <c r="D61" s="65" t="s">
        <v>424</v>
      </c>
      <c r="E61" s="65" t="s">
        <v>425</v>
      </c>
      <c r="F61" s="64" t="s">
        <v>180</v>
      </c>
      <c r="G61" s="64" t="s">
        <v>186</v>
      </c>
      <c r="H61" s="64" t="s">
        <v>179</v>
      </c>
      <c r="I61" s="66"/>
      <c r="J61" s="67">
        <v>46112.0</v>
      </c>
      <c r="K61" s="64" t="s">
        <v>177</v>
      </c>
      <c r="L61" s="76"/>
      <c r="M61" s="76"/>
      <c r="N61" s="66"/>
      <c r="O61" s="68"/>
      <c r="P61" s="66"/>
      <c r="Q61" s="66"/>
      <c r="R61" s="66"/>
      <c r="S61" s="66"/>
      <c r="T61" s="66"/>
      <c r="U61" s="66"/>
      <c r="V61" s="66"/>
      <c r="W61" s="66"/>
      <c r="X61" s="66"/>
      <c r="Y61" s="66"/>
      <c r="Z61" s="66"/>
      <c r="AA61" s="66"/>
    </row>
    <row r="62">
      <c r="A62" s="64" t="s">
        <v>183</v>
      </c>
      <c r="B62" s="65" t="s">
        <v>73</v>
      </c>
      <c r="C62" s="75" t="s">
        <v>85</v>
      </c>
      <c r="D62" s="65" t="s">
        <v>426</v>
      </c>
      <c r="E62" s="65" t="s">
        <v>427</v>
      </c>
      <c r="F62" s="64" t="s">
        <v>174</v>
      </c>
      <c r="G62" s="64" t="s">
        <v>175</v>
      </c>
      <c r="H62" s="64" t="s">
        <v>211</v>
      </c>
      <c r="I62" s="66"/>
      <c r="J62" s="67">
        <v>46112.0</v>
      </c>
      <c r="K62" s="64" t="s">
        <v>177</v>
      </c>
      <c r="L62" s="64" t="s">
        <v>406</v>
      </c>
      <c r="M62" s="64" t="s">
        <v>406</v>
      </c>
      <c r="N62" s="66"/>
      <c r="O62" s="68"/>
      <c r="P62" s="66"/>
      <c r="Q62" s="66"/>
      <c r="R62" s="66"/>
      <c r="S62" s="66"/>
      <c r="T62" s="66"/>
      <c r="U62" s="66"/>
      <c r="V62" s="66"/>
      <c r="W62" s="66"/>
      <c r="X62" s="66"/>
      <c r="Y62" s="66"/>
      <c r="Z62" s="66"/>
      <c r="AA62" s="66"/>
    </row>
    <row r="63">
      <c r="A63" s="8" t="s">
        <v>183</v>
      </c>
      <c r="B63" s="6" t="s">
        <v>73</v>
      </c>
      <c r="C63" s="71" t="s">
        <v>85</v>
      </c>
      <c r="D63" s="6" t="s">
        <v>428</v>
      </c>
      <c r="E63" s="8"/>
      <c r="F63" s="8" t="s">
        <v>174</v>
      </c>
      <c r="G63" s="8" t="s">
        <v>175</v>
      </c>
      <c r="H63" s="8" t="s">
        <v>211</v>
      </c>
      <c r="I63" s="56"/>
      <c r="J63" s="57">
        <v>46387.0</v>
      </c>
      <c r="K63" s="8" t="s">
        <v>192</v>
      </c>
      <c r="L63" s="8" t="s">
        <v>406</v>
      </c>
      <c r="M63" s="8" t="s">
        <v>406</v>
      </c>
      <c r="N63" s="56"/>
      <c r="O63" s="58"/>
      <c r="P63" s="56"/>
      <c r="Q63" s="56"/>
      <c r="R63" s="56"/>
      <c r="S63" s="56"/>
      <c r="T63" s="56"/>
      <c r="U63" s="56"/>
      <c r="V63" s="56"/>
      <c r="W63" s="56"/>
      <c r="X63" s="56"/>
      <c r="Y63" s="56"/>
      <c r="Z63" s="56"/>
      <c r="AA63" s="56"/>
    </row>
    <row r="64">
      <c r="A64" s="8" t="s">
        <v>199</v>
      </c>
      <c r="B64" s="6" t="s">
        <v>36</v>
      </c>
      <c r="C64" s="71" t="s">
        <v>107</v>
      </c>
      <c r="D64" s="6" t="s">
        <v>429</v>
      </c>
      <c r="E64" s="6">
        <v>100.0</v>
      </c>
      <c r="F64" s="8" t="s">
        <v>185</v>
      </c>
      <c r="G64" s="8" t="s">
        <v>175</v>
      </c>
      <c r="H64" s="8" t="s">
        <v>211</v>
      </c>
      <c r="I64" s="56"/>
      <c r="J64" s="57">
        <v>46173.0</v>
      </c>
      <c r="K64" s="8" t="s">
        <v>182</v>
      </c>
      <c r="L64" s="8" t="s">
        <v>374</v>
      </c>
      <c r="M64" s="8" t="s">
        <v>374</v>
      </c>
      <c r="N64" s="56"/>
      <c r="O64" s="58"/>
      <c r="P64" s="56"/>
      <c r="Q64" s="56"/>
      <c r="R64" s="56"/>
      <c r="S64" s="56"/>
      <c r="T64" s="56"/>
      <c r="U64" s="56"/>
      <c r="V64" s="56"/>
      <c r="W64" s="56"/>
      <c r="X64" s="56"/>
      <c r="Y64" s="56"/>
      <c r="Z64" s="56"/>
      <c r="AA64" s="56"/>
    </row>
    <row r="65">
      <c r="A65" s="8" t="s">
        <v>199</v>
      </c>
      <c r="B65" s="6" t="s">
        <v>36</v>
      </c>
      <c r="C65" s="71" t="s">
        <v>1</v>
      </c>
      <c r="D65" s="6" t="s">
        <v>430</v>
      </c>
      <c r="E65" s="6">
        <v>12.0</v>
      </c>
      <c r="F65" s="8" t="s">
        <v>185</v>
      </c>
      <c r="G65" s="8" t="s">
        <v>175</v>
      </c>
      <c r="H65" s="8" t="s">
        <v>211</v>
      </c>
      <c r="I65" s="56"/>
      <c r="J65" s="57">
        <v>46203.0</v>
      </c>
      <c r="K65" s="8" t="s">
        <v>182</v>
      </c>
      <c r="L65" s="8" t="s">
        <v>374</v>
      </c>
      <c r="M65" s="8" t="s">
        <v>374</v>
      </c>
      <c r="N65" s="56"/>
      <c r="O65" s="58"/>
      <c r="P65" s="56"/>
      <c r="Q65" s="56"/>
      <c r="R65" s="56"/>
      <c r="S65" s="56"/>
      <c r="T65" s="56"/>
      <c r="U65" s="56"/>
      <c r="V65" s="56"/>
      <c r="W65" s="56"/>
      <c r="X65" s="56"/>
      <c r="Y65" s="56"/>
      <c r="Z65" s="56"/>
      <c r="AA65" s="56"/>
    </row>
    <row r="66">
      <c r="A66" s="8" t="s">
        <v>199</v>
      </c>
      <c r="B66" s="6" t="s">
        <v>36</v>
      </c>
      <c r="C66" s="71" t="s">
        <v>1</v>
      </c>
      <c r="D66" s="6" t="s">
        <v>430</v>
      </c>
      <c r="E66" s="6">
        <v>15.0</v>
      </c>
      <c r="F66" s="8" t="s">
        <v>185</v>
      </c>
      <c r="G66" s="8" t="s">
        <v>175</v>
      </c>
      <c r="H66" s="8" t="s">
        <v>211</v>
      </c>
      <c r="I66" s="56"/>
      <c r="J66" s="57">
        <v>46234.0</v>
      </c>
      <c r="K66" s="8" t="s">
        <v>187</v>
      </c>
      <c r="L66" s="8" t="s">
        <v>374</v>
      </c>
      <c r="M66" s="8" t="s">
        <v>374</v>
      </c>
      <c r="N66" s="56"/>
      <c r="O66" s="58"/>
      <c r="P66" s="56"/>
      <c r="Q66" s="56"/>
      <c r="R66" s="56"/>
      <c r="S66" s="56"/>
      <c r="T66" s="56"/>
      <c r="U66" s="56"/>
      <c r="V66" s="56"/>
      <c r="W66" s="56"/>
      <c r="X66" s="56"/>
      <c r="Y66" s="56"/>
      <c r="Z66" s="56"/>
      <c r="AA66" s="56"/>
    </row>
    <row r="67">
      <c r="A67" s="8" t="s">
        <v>193</v>
      </c>
      <c r="B67" s="6" t="s">
        <v>44</v>
      </c>
      <c r="C67" s="71" t="s">
        <v>156</v>
      </c>
      <c r="D67" s="6" t="s">
        <v>431</v>
      </c>
      <c r="E67" s="8"/>
      <c r="F67" s="8" t="s">
        <v>185</v>
      </c>
      <c r="G67" s="8" t="s">
        <v>186</v>
      </c>
      <c r="H67" s="8" t="s">
        <v>211</v>
      </c>
      <c r="I67" s="56"/>
      <c r="J67" s="57">
        <v>46173.0</v>
      </c>
      <c r="K67" s="8" t="s">
        <v>182</v>
      </c>
      <c r="L67" s="8" t="s">
        <v>176</v>
      </c>
      <c r="M67" s="8" t="s">
        <v>6</v>
      </c>
      <c r="N67" s="56"/>
      <c r="O67" s="58"/>
      <c r="P67" s="56"/>
      <c r="Q67" s="56"/>
      <c r="R67" s="56"/>
      <c r="S67" s="56"/>
      <c r="T67" s="56"/>
      <c r="U67" s="56"/>
      <c r="V67" s="56"/>
      <c r="W67" s="56"/>
      <c r="X67" s="56"/>
      <c r="Y67" s="56"/>
      <c r="Z67" s="56"/>
      <c r="AA67" s="56"/>
    </row>
    <row r="68">
      <c r="A68" s="8" t="s">
        <v>193</v>
      </c>
      <c r="B68" s="6" t="s">
        <v>44</v>
      </c>
      <c r="C68" s="71" t="s">
        <v>156</v>
      </c>
      <c r="D68" s="6" t="s">
        <v>432</v>
      </c>
      <c r="E68" s="8"/>
      <c r="F68" s="8" t="s">
        <v>185</v>
      </c>
      <c r="G68" s="8" t="s">
        <v>186</v>
      </c>
      <c r="H68" s="8" t="s">
        <v>211</v>
      </c>
      <c r="I68" s="56"/>
      <c r="J68" s="57">
        <v>46265.0</v>
      </c>
      <c r="K68" s="8" t="s">
        <v>187</v>
      </c>
      <c r="L68" s="8" t="s">
        <v>6</v>
      </c>
      <c r="M68" s="8" t="s">
        <v>6</v>
      </c>
      <c r="N68" s="56"/>
      <c r="O68" s="58"/>
      <c r="P68" s="56"/>
      <c r="Q68" s="56"/>
      <c r="R68" s="56"/>
      <c r="S68" s="56"/>
      <c r="T68" s="56"/>
      <c r="U68" s="56"/>
      <c r="V68" s="56"/>
      <c r="W68" s="56"/>
      <c r="X68" s="56"/>
      <c r="Y68" s="56"/>
      <c r="Z68" s="56"/>
      <c r="AA68" s="56"/>
    </row>
    <row r="69">
      <c r="A69" s="77" t="s">
        <v>193</v>
      </c>
      <c r="B69" s="78" t="s">
        <v>44</v>
      </c>
      <c r="C69" s="77" t="s">
        <v>156</v>
      </c>
      <c r="D69" s="78" t="s">
        <v>433</v>
      </c>
      <c r="E69" s="79"/>
      <c r="F69" s="77" t="s">
        <v>185</v>
      </c>
      <c r="G69" s="77" t="s">
        <v>186</v>
      </c>
      <c r="H69" s="77" t="s">
        <v>211</v>
      </c>
      <c r="I69" s="79"/>
      <c r="J69" s="80">
        <v>46265.0</v>
      </c>
      <c r="K69" s="77" t="s">
        <v>187</v>
      </c>
      <c r="L69" s="77" t="s">
        <v>6</v>
      </c>
      <c r="M69" s="77" t="s">
        <v>6</v>
      </c>
      <c r="N69" s="79"/>
      <c r="O69" s="81"/>
      <c r="P69" s="79"/>
      <c r="Q69" s="79"/>
      <c r="R69" s="79"/>
      <c r="S69" s="79"/>
      <c r="T69" s="79"/>
      <c r="U69" s="79"/>
      <c r="V69" s="79"/>
      <c r="W69" s="79"/>
      <c r="X69" s="79"/>
      <c r="Y69" s="79"/>
      <c r="Z69" s="79"/>
      <c r="AA69" s="79"/>
    </row>
    <row r="70">
      <c r="A70" s="8" t="s">
        <v>193</v>
      </c>
      <c r="B70" s="6" t="s">
        <v>44</v>
      </c>
      <c r="C70" s="71" t="s">
        <v>156</v>
      </c>
      <c r="D70" s="6" t="s">
        <v>434</v>
      </c>
      <c r="E70" s="8"/>
      <c r="F70" s="8" t="s">
        <v>185</v>
      </c>
      <c r="G70" s="8" t="s">
        <v>186</v>
      </c>
      <c r="H70" s="8" t="s">
        <v>179</v>
      </c>
      <c r="I70" s="56"/>
      <c r="J70" s="57">
        <v>46350.0</v>
      </c>
      <c r="K70" s="8" t="s">
        <v>192</v>
      </c>
      <c r="L70" s="74"/>
      <c r="M70" s="74"/>
      <c r="N70" s="56"/>
      <c r="O70" s="58"/>
      <c r="P70" s="56"/>
      <c r="Q70" s="56"/>
      <c r="R70" s="56"/>
      <c r="S70" s="56"/>
      <c r="T70" s="56"/>
      <c r="U70" s="56"/>
      <c r="V70" s="56"/>
      <c r="W70" s="56"/>
      <c r="X70" s="56"/>
      <c r="Y70" s="56"/>
      <c r="Z70" s="56"/>
      <c r="AA70" s="56"/>
    </row>
    <row r="71">
      <c r="A71" s="8" t="s">
        <v>193</v>
      </c>
      <c r="B71" s="6" t="s">
        <v>44</v>
      </c>
      <c r="C71" s="71" t="s">
        <v>158</v>
      </c>
      <c r="D71" s="6" t="s">
        <v>435</v>
      </c>
      <c r="E71" s="8"/>
      <c r="F71" s="8" t="s">
        <v>185</v>
      </c>
      <c r="G71" s="8" t="s">
        <v>186</v>
      </c>
      <c r="H71" s="8" t="s">
        <v>211</v>
      </c>
      <c r="I71" s="56"/>
      <c r="J71" s="57">
        <v>46295.0</v>
      </c>
      <c r="K71" s="8" t="s">
        <v>187</v>
      </c>
      <c r="L71" s="8" t="s">
        <v>176</v>
      </c>
      <c r="M71" s="8" t="s">
        <v>6</v>
      </c>
      <c r="N71" s="56"/>
      <c r="O71" s="58"/>
      <c r="P71" s="56"/>
      <c r="Q71" s="56"/>
      <c r="R71" s="56"/>
      <c r="S71" s="56"/>
      <c r="T71" s="56"/>
      <c r="U71" s="56"/>
      <c r="V71" s="56"/>
      <c r="W71" s="56"/>
      <c r="X71" s="56"/>
      <c r="Y71" s="56"/>
      <c r="Z71" s="56"/>
      <c r="AA71" s="56"/>
    </row>
    <row r="72">
      <c r="A72" s="8" t="s">
        <v>193</v>
      </c>
      <c r="B72" s="6" t="s">
        <v>44</v>
      </c>
      <c r="C72" s="71" t="s">
        <v>158</v>
      </c>
      <c r="D72" s="6" t="s">
        <v>436</v>
      </c>
      <c r="E72" s="8"/>
      <c r="F72" s="8" t="s">
        <v>185</v>
      </c>
      <c r="G72" s="8" t="s">
        <v>186</v>
      </c>
      <c r="H72" s="8" t="s">
        <v>211</v>
      </c>
      <c r="I72" s="56"/>
      <c r="J72" s="57">
        <v>46295.0</v>
      </c>
      <c r="K72" s="8" t="s">
        <v>187</v>
      </c>
      <c r="L72" s="8" t="s">
        <v>6</v>
      </c>
      <c r="M72" s="8" t="s">
        <v>6</v>
      </c>
      <c r="N72" s="56"/>
      <c r="O72" s="58"/>
      <c r="P72" s="56"/>
      <c r="Q72" s="56"/>
      <c r="R72" s="56"/>
      <c r="S72" s="56"/>
      <c r="T72" s="56"/>
      <c r="U72" s="56"/>
      <c r="V72" s="56"/>
      <c r="W72" s="56"/>
      <c r="X72" s="56"/>
      <c r="Y72" s="56"/>
      <c r="Z72" s="56"/>
      <c r="AA72" s="56"/>
    </row>
    <row r="73">
      <c r="A73" s="8" t="s">
        <v>193</v>
      </c>
      <c r="B73" s="6" t="s">
        <v>44</v>
      </c>
      <c r="C73" s="71" t="s">
        <v>158</v>
      </c>
      <c r="D73" s="6" t="s">
        <v>437</v>
      </c>
      <c r="E73" s="8"/>
      <c r="F73" s="8" t="s">
        <v>185</v>
      </c>
      <c r="G73" s="8" t="s">
        <v>186</v>
      </c>
      <c r="H73" s="8" t="s">
        <v>211</v>
      </c>
      <c r="I73" s="56"/>
      <c r="J73" s="57">
        <v>46387.0</v>
      </c>
      <c r="K73" s="8" t="s">
        <v>192</v>
      </c>
      <c r="L73" s="8" t="s">
        <v>6</v>
      </c>
      <c r="M73" s="8" t="s">
        <v>6</v>
      </c>
      <c r="N73" s="56"/>
      <c r="O73" s="58"/>
      <c r="P73" s="56"/>
      <c r="Q73" s="56"/>
      <c r="R73" s="56"/>
      <c r="S73" s="56"/>
      <c r="T73" s="56"/>
      <c r="U73" s="56"/>
      <c r="V73" s="56"/>
      <c r="W73" s="56"/>
      <c r="X73" s="56"/>
      <c r="Y73" s="56"/>
      <c r="Z73" s="56"/>
      <c r="AA73" s="56"/>
    </row>
    <row r="74">
      <c r="A74" s="8"/>
      <c r="B74" s="6" t="s">
        <v>44</v>
      </c>
      <c r="C74" s="71" t="s">
        <v>158</v>
      </c>
      <c r="D74" s="6" t="s">
        <v>438</v>
      </c>
      <c r="E74" s="8"/>
      <c r="F74" s="8"/>
      <c r="G74" s="8"/>
      <c r="H74" s="8"/>
      <c r="I74" s="56"/>
      <c r="J74" s="57"/>
      <c r="K74" s="8"/>
      <c r="L74" s="8"/>
      <c r="M74" s="8"/>
      <c r="N74" s="56"/>
      <c r="O74" s="58"/>
      <c r="P74" s="56"/>
      <c r="Q74" s="56"/>
      <c r="R74" s="56"/>
      <c r="S74" s="56"/>
      <c r="T74" s="56"/>
      <c r="U74" s="56"/>
      <c r="V74" s="56"/>
      <c r="W74" s="56"/>
      <c r="X74" s="56"/>
      <c r="Y74" s="56"/>
      <c r="Z74" s="56"/>
      <c r="AA74" s="56"/>
    </row>
    <row r="75">
      <c r="A75" s="8" t="s">
        <v>193</v>
      </c>
      <c r="B75" s="6" t="s">
        <v>51</v>
      </c>
      <c r="C75" s="71" t="s">
        <v>124</v>
      </c>
      <c r="D75" s="6" t="s">
        <v>439</v>
      </c>
      <c r="E75" s="82"/>
      <c r="F75" s="8" t="s">
        <v>174</v>
      </c>
      <c r="G75" s="8" t="s">
        <v>191</v>
      </c>
      <c r="H75" s="8" t="s">
        <v>214</v>
      </c>
      <c r="I75" s="56"/>
      <c r="J75" s="57">
        <v>46112.0</v>
      </c>
      <c r="K75" s="8" t="s">
        <v>177</v>
      </c>
      <c r="L75" s="8" t="s">
        <v>1</v>
      </c>
      <c r="M75" s="8" t="s">
        <v>1</v>
      </c>
      <c r="N75" s="56"/>
      <c r="O75" s="58"/>
      <c r="P75" s="56"/>
      <c r="Q75" s="56"/>
      <c r="R75" s="56"/>
      <c r="S75" s="56"/>
      <c r="T75" s="56"/>
      <c r="U75" s="56"/>
      <c r="V75" s="56"/>
      <c r="W75" s="56"/>
      <c r="X75" s="56"/>
      <c r="Y75" s="56"/>
      <c r="Z75" s="56"/>
      <c r="AA75" s="56"/>
    </row>
    <row r="76">
      <c r="A76" s="8" t="s">
        <v>199</v>
      </c>
      <c r="B76" s="6" t="s">
        <v>51</v>
      </c>
      <c r="C76" s="71" t="s">
        <v>124</v>
      </c>
      <c r="D76" s="6" t="s">
        <v>440</v>
      </c>
      <c r="E76" s="8" t="s">
        <v>384</v>
      </c>
      <c r="F76" s="8" t="s">
        <v>174</v>
      </c>
      <c r="G76" s="8" t="s">
        <v>181</v>
      </c>
      <c r="H76" s="8" t="s">
        <v>214</v>
      </c>
      <c r="I76" s="56"/>
      <c r="J76" s="57">
        <v>46173.0</v>
      </c>
      <c r="K76" s="8" t="s">
        <v>182</v>
      </c>
      <c r="L76" s="8" t="s">
        <v>1</v>
      </c>
      <c r="M76" s="8" t="s">
        <v>1</v>
      </c>
      <c r="N76" s="56"/>
      <c r="O76" s="58"/>
      <c r="P76" s="56"/>
      <c r="Q76" s="56"/>
      <c r="R76" s="56"/>
      <c r="S76" s="56"/>
      <c r="T76" s="56"/>
      <c r="U76" s="56"/>
      <c r="V76" s="56"/>
      <c r="W76" s="56"/>
      <c r="X76" s="56"/>
      <c r="Y76" s="56"/>
      <c r="Z76" s="56"/>
      <c r="AA76" s="56"/>
    </row>
    <row r="77">
      <c r="A77" s="8" t="s">
        <v>199</v>
      </c>
      <c r="B77" s="6" t="s">
        <v>15</v>
      </c>
      <c r="C77" s="71" t="s">
        <v>441</v>
      </c>
      <c r="D77" s="8"/>
      <c r="E77" s="8"/>
      <c r="F77" s="8" t="s">
        <v>174</v>
      </c>
      <c r="G77" s="8" t="s">
        <v>186</v>
      </c>
      <c r="H77" s="8" t="s">
        <v>214</v>
      </c>
      <c r="I77" s="56"/>
      <c r="J77" s="57">
        <v>46265.0</v>
      </c>
      <c r="K77" s="8" t="s">
        <v>187</v>
      </c>
      <c r="L77" s="8" t="s">
        <v>9</v>
      </c>
      <c r="M77" s="8" t="s">
        <v>9</v>
      </c>
      <c r="N77" s="56"/>
      <c r="O77" s="58"/>
      <c r="P77" s="56"/>
      <c r="Q77" s="56"/>
      <c r="R77" s="56"/>
      <c r="S77" s="56"/>
      <c r="T77" s="56"/>
      <c r="U77" s="56"/>
      <c r="V77" s="56"/>
      <c r="W77" s="56"/>
      <c r="X77" s="56"/>
      <c r="Y77" s="56"/>
      <c r="Z77" s="56"/>
      <c r="AA77" s="56"/>
    </row>
    <row r="78">
      <c r="A78" s="64" t="s">
        <v>199</v>
      </c>
      <c r="B78" s="65" t="s">
        <v>36</v>
      </c>
      <c r="C78" s="75" t="s">
        <v>1</v>
      </c>
      <c r="D78" s="83" t="s">
        <v>442</v>
      </c>
      <c r="E78" s="83" t="s">
        <v>255</v>
      </c>
      <c r="F78" s="66"/>
      <c r="G78" s="66"/>
      <c r="H78" s="66"/>
      <c r="I78" s="66"/>
      <c r="J78" s="66"/>
      <c r="K78" s="66"/>
      <c r="L78" s="66"/>
      <c r="M78" s="66"/>
      <c r="N78" s="66"/>
      <c r="O78" s="83" t="s">
        <v>443</v>
      </c>
      <c r="P78" s="66"/>
      <c r="Q78" s="66"/>
      <c r="R78" s="66"/>
      <c r="S78" s="66"/>
      <c r="T78" s="66"/>
      <c r="U78" s="66"/>
      <c r="V78" s="66"/>
      <c r="W78" s="66"/>
      <c r="X78" s="66"/>
      <c r="Y78" s="66"/>
      <c r="Z78" s="66"/>
      <c r="AA78" s="66"/>
    </row>
    <row r="79">
      <c r="A79" s="56"/>
      <c r="B79" s="8"/>
      <c r="C79" s="56"/>
      <c r="D79" s="56"/>
      <c r="E79" s="56"/>
      <c r="F79" s="56"/>
      <c r="G79" s="56"/>
      <c r="H79" s="56"/>
      <c r="I79" s="56"/>
      <c r="J79" s="56"/>
      <c r="K79" s="56"/>
      <c r="L79" s="56"/>
      <c r="M79" s="56"/>
      <c r="N79" s="56"/>
      <c r="O79" s="56"/>
      <c r="P79" s="56"/>
      <c r="Q79" s="56"/>
      <c r="R79" s="56"/>
      <c r="S79" s="56"/>
      <c r="T79" s="56"/>
      <c r="U79" s="56"/>
      <c r="V79" s="56"/>
      <c r="W79" s="56"/>
      <c r="X79" s="56"/>
      <c r="Y79" s="56"/>
      <c r="Z79" s="56"/>
      <c r="AA79" s="56"/>
    </row>
    <row r="80">
      <c r="A80" s="56"/>
      <c r="B80" s="8"/>
      <c r="C80" s="56"/>
      <c r="D80" s="56"/>
      <c r="E80" s="56"/>
      <c r="F80" s="56"/>
      <c r="G80" s="56"/>
      <c r="H80" s="56"/>
      <c r="I80" s="56"/>
      <c r="J80" s="56"/>
      <c r="K80" s="56"/>
      <c r="L80" s="56"/>
      <c r="M80" s="56"/>
      <c r="N80" s="56"/>
      <c r="O80" s="56"/>
      <c r="P80" s="56"/>
      <c r="Q80" s="56"/>
      <c r="R80" s="56"/>
      <c r="S80" s="56"/>
      <c r="T80" s="56"/>
      <c r="U80" s="56"/>
      <c r="V80" s="56"/>
      <c r="W80" s="56"/>
      <c r="X80" s="56"/>
      <c r="Y80" s="56"/>
      <c r="Z80" s="56"/>
      <c r="AA80" s="56"/>
    </row>
    <row r="81">
      <c r="A81" s="56"/>
      <c r="B81" s="8"/>
      <c r="C81" s="56"/>
      <c r="D81" s="56"/>
      <c r="E81" s="56"/>
      <c r="F81" s="56"/>
      <c r="G81" s="56"/>
      <c r="H81" s="56"/>
      <c r="I81" s="56"/>
      <c r="J81" s="56"/>
      <c r="K81" s="56"/>
      <c r="L81" s="56"/>
      <c r="M81" s="56"/>
      <c r="N81" s="56"/>
      <c r="O81" s="56"/>
      <c r="P81" s="56"/>
      <c r="Q81" s="56"/>
      <c r="R81" s="56"/>
      <c r="S81" s="56"/>
      <c r="T81" s="56"/>
      <c r="U81" s="56"/>
      <c r="V81" s="56"/>
      <c r="W81" s="56"/>
      <c r="X81" s="56"/>
      <c r="Y81" s="56"/>
      <c r="Z81" s="56"/>
      <c r="AA81" s="56"/>
    </row>
    <row r="82">
      <c r="A82" s="56"/>
      <c r="B82" s="8"/>
      <c r="C82" s="56"/>
      <c r="D82" s="56"/>
      <c r="E82" s="56"/>
      <c r="F82" s="56"/>
      <c r="G82" s="56"/>
      <c r="H82" s="56"/>
      <c r="I82" s="56"/>
      <c r="J82" s="56"/>
      <c r="K82" s="56"/>
      <c r="L82" s="56"/>
      <c r="M82" s="56"/>
      <c r="N82" s="56"/>
      <c r="O82" s="56"/>
      <c r="P82" s="56"/>
      <c r="Q82" s="56"/>
      <c r="R82" s="56"/>
      <c r="S82" s="56"/>
      <c r="T82" s="56"/>
      <c r="U82" s="56"/>
      <c r="V82" s="56"/>
      <c r="W82" s="56"/>
      <c r="X82" s="56"/>
      <c r="Y82" s="56"/>
      <c r="Z82" s="56"/>
      <c r="AA82" s="56"/>
    </row>
  </sheetData>
  <dataValidations>
    <dataValidation type="list" allowBlank="1" showErrorMessage="1" sqref="G2:G77">
      <formula1>priority</formula1>
    </dataValidation>
    <dataValidation type="list" allowBlank="1" showErrorMessage="1" sqref="L2:M77">
      <formula1>partners</formula1>
    </dataValidation>
    <dataValidation type="list" allowBlank="1" showErrorMessage="1" sqref="F2:F77">
      <formula1>status</formula1>
    </dataValidation>
    <dataValidation type="list" allowBlank="1" showErrorMessage="1" sqref="H2:H77">
      <formula1>people</formula1>
    </dataValidation>
    <dataValidation type="list" allowBlank="1" showErrorMessage="1" sqref="C2:C82">
      <formula1>focus_areas</formula1>
    </dataValidation>
    <dataValidation type="list" allowBlank="1" showErrorMessage="1" sqref="B2:B82">
      <formula1>dept_objs_resources_usa</formula1>
    </dataValidation>
    <dataValidation type="list" allowBlank="1" showErrorMessage="1" sqref="K2:K77">
      <formula1>quarters</formula1>
    </dataValidation>
    <dataValidation type="list" allowBlank="1" showErrorMessage="1" sqref="A2:A78">
      <formula1>strategic_goals</formula1>
    </dataValidation>
    <dataValidation type="custom" allowBlank="1" showDropDown="1" sqref="J2:J77">
      <formula1>OR(NOT(ISERROR(DATEVALUE(J2))), AND(ISNUMBER(J2), LEFT(CELL("format", J2))="D"))</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5" width="27.63"/>
    <col customWidth="1" min="6" max="6" width="8.63"/>
    <col customWidth="1" min="7" max="7" width="6.0"/>
    <col customWidth="1" min="8" max="8" width="27.63"/>
    <col customWidth="1" min="9" max="9" width="8.5"/>
    <col customWidth="1" min="10" max="10" width="22.13"/>
    <col customWidth="1" min="11" max="16" width="27.63"/>
  </cols>
  <sheetData>
    <row r="1">
      <c r="A1" s="84" t="s">
        <v>215</v>
      </c>
      <c r="B1" s="85" t="s">
        <v>216</v>
      </c>
      <c r="C1" s="86" t="s">
        <v>217</v>
      </c>
      <c r="D1" s="84" t="s">
        <v>218</v>
      </c>
      <c r="E1" s="84" t="s">
        <v>219</v>
      </c>
      <c r="F1" s="87" t="s">
        <v>220</v>
      </c>
      <c r="G1" s="87" t="s">
        <v>221</v>
      </c>
      <c r="H1" s="87" t="s">
        <v>222</v>
      </c>
      <c r="I1" s="84" t="s">
        <v>223</v>
      </c>
      <c r="J1" s="88" t="s">
        <v>224</v>
      </c>
      <c r="K1" s="87" t="s">
        <v>225</v>
      </c>
      <c r="L1" s="87" t="s">
        <v>226</v>
      </c>
      <c r="M1" s="87" t="s">
        <v>227</v>
      </c>
      <c r="N1" s="85" t="s">
        <v>228</v>
      </c>
      <c r="O1" s="85" t="s">
        <v>229</v>
      </c>
      <c r="P1" s="89"/>
    </row>
    <row r="2">
      <c r="A2" s="90" t="s">
        <v>199</v>
      </c>
      <c r="B2" s="91" t="s">
        <v>36</v>
      </c>
      <c r="C2" s="90" t="s">
        <v>444</v>
      </c>
      <c r="D2" s="92" t="s">
        <v>445</v>
      </c>
      <c r="E2" s="92" t="s">
        <v>446</v>
      </c>
      <c r="F2" s="90" t="s">
        <v>180</v>
      </c>
      <c r="G2" s="90" t="s">
        <v>181</v>
      </c>
      <c r="H2" s="91" t="s">
        <v>211</v>
      </c>
      <c r="I2" s="91"/>
      <c r="J2" s="93">
        <v>46173.0</v>
      </c>
      <c r="K2" s="90" t="s">
        <v>177</v>
      </c>
      <c r="L2" s="90" t="s">
        <v>4</v>
      </c>
      <c r="M2" s="90" t="s">
        <v>2</v>
      </c>
      <c r="N2" s="90"/>
      <c r="O2" s="92" t="s">
        <v>447</v>
      </c>
      <c r="P2" s="94"/>
    </row>
    <row r="3">
      <c r="A3" s="89"/>
      <c r="B3" s="94" t="s">
        <v>36</v>
      </c>
      <c r="C3" s="89" t="s">
        <v>444</v>
      </c>
      <c r="D3" s="95"/>
      <c r="E3" s="89"/>
      <c r="F3" s="89"/>
      <c r="G3" s="89"/>
      <c r="H3" s="89"/>
      <c r="I3" s="89"/>
      <c r="J3" s="96"/>
      <c r="K3" s="89"/>
      <c r="L3" s="89"/>
      <c r="M3" s="89"/>
      <c r="N3" s="89"/>
      <c r="O3" s="89"/>
      <c r="P3" s="89"/>
    </row>
    <row r="4">
      <c r="A4" s="89" t="s">
        <v>199</v>
      </c>
      <c r="B4" s="94" t="s">
        <v>36</v>
      </c>
      <c r="C4" s="89" t="s">
        <v>444</v>
      </c>
      <c r="D4" s="97" t="s">
        <v>448</v>
      </c>
      <c r="E4" s="89"/>
      <c r="F4" s="89" t="s">
        <v>180</v>
      </c>
      <c r="G4" s="89" t="s">
        <v>181</v>
      </c>
      <c r="H4" s="89" t="s">
        <v>211</v>
      </c>
      <c r="I4" s="89"/>
      <c r="J4" s="98">
        <v>46223.0</v>
      </c>
      <c r="K4" s="89" t="s">
        <v>177</v>
      </c>
      <c r="L4" s="89" t="s">
        <v>6</v>
      </c>
      <c r="M4" s="89" t="s">
        <v>2</v>
      </c>
      <c r="N4" s="89"/>
      <c r="O4" s="89"/>
      <c r="P4" s="89"/>
    </row>
    <row r="5">
      <c r="A5" s="89" t="s">
        <v>199</v>
      </c>
      <c r="B5" s="94" t="s">
        <v>36</v>
      </c>
      <c r="C5" s="89" t="s">
        <v>444</v>
      </c>
      <c r="D5" s="97" t="s">
        <v>449</v>
      </c>
      <c r="E5" s="89"/>
      <c r="F5" s="89" t="s">
        <v>180</v>
      </c>
      <c r="G5" s="89" t="s">
        <v>181</v>
      </c>
      <c r="H5" s="89" t="s">
        <v>450</v>
      </c>
      <c r="I5" s="89"/>
      <c r="J5" s="98">
        <v>46223.0</v>
      </c>
      <c r="K5" s="89" t="s">
        <v>177</v>
      </c>
      <c r="L5" s="89" t="s">
        <v>6</v>
      </c>
      <c r="M5" s="89" t="s">
        <v>2</v>
      </c>
      <c r="N5" s="89"/>
      <c r="O5" s="89"/>
      <c r="P5" s="89"/>
    </row>
    <row r="6">
      <c r="A6" s="89" t="s">
        <v>199</v>
      </c>
      <c r="B6" s="94" t="s">
        <v>36</v>
      </c>
      <c r="C6" s="89" t="s">
        <v>444</v>
      </c>
      <c r="D6" s="97" t="s">
        <v>451</v>
      </c>
      <c r="E6" s="89"/>
      <c r="F6" s="89" t="s">
        <v>180</v>
      </c>
      <c r="G6" s="89" t="s">
        <v>181</v>
      </c>
      <c r="H6" s="89"/>
      <c r="I6" s="89"/>
      <c r="J6" s="98">
        <v>46223.0</v>
      </c>
      <c r="K6" s="89" t="s">
        <v>177</v>
      </c>
      <c r="L6" s="89" t="s">
        <v>6</v>
      </c>
      <c r="M6" s="89" t="s">
        <v>2</v>
      </c>
      <c r="N6" s="89"/>
      <c r="O6" s="89"/>
      <c r="P6" s="89"/>
    </row>
    <row r="7">
      <c r="A7" s="89" t="s">
        <v>199</v>
      </c>
      <c r="B7" s="94" t="s">
        <v>36</v>
      </c>
      <c r="C7" s="89" t="s">
        <v>444</v>
      </c>
      <c r="D7" s="97" t="s">
        <v>452</v>
      </c>
      <c r="E7" s="89"/>
      <c r="F7" s="89" t="s">
        <v>180</v>
      </c>
      <c r="G7" s="89" t="s">
        <v>181</v>
      </c>
      <c r="H7" s="89"/>
      <c r="I7" s="89"/>
      <c r="J7" s="98">
        <v>46234.0</v>
      </c>
      <c r="K7" s="89" t="s">
        <v>177</v>
      </c>
      <c r="L7" s="89" t="s">
        <v>211</v>
      </c>
      <c r="M7" s="89" t="s">
        <v>2</v>
      </c>
      <c r="N7" s="89"/>
      <c r="O7" s="89"/>
      <c r="P7" s="89"/>
    </row>
    <row r="8">
      <c r="A8" s="89" t="s">
        <v>199</v>
      </c>
      <c r="B8" s="94" t="s">
        <v>36</v>
      </c>
      <c r="C8" s="89" t="s">
        <v>1</v>
      </c>
      <c r="D8" s="99" t="s">
        <v>453</v>
      </c>
      <c r="E8" s="89"/>
      <c r="F8" s="89" t="s">
        <v>180</v>
      </c>
      <c r="G8" s="89" t="s">
        <v>181</v>
      </c>
      <c r="H8" s="89"/>
      <c r="I8" s="89"/>
      <c r="J8" s="98">
        <v>46234.0</v>
      </c>
      <c r="K8" s="89" t="s">
        <v>177</v>
      </c>
      <c r="L8" s="89" t="s">
        <v>211</v>
      </c>
      <c r="M8" s="89" t="s">
        <v>2</v>
      </c>
      <c r="N8" s="89"/>
      <c r="O8" s="89"/>
      <c r="P8" s="89"/>
    </row>
    <row r="9">
      <c r="A9" s="89" t="s">
        <v>199</v>
      </c>
      <c r="B9" s="94" t="s">
        <v>36</v>
      </c>
      <c r="C9" s="89" t="s">
        <v>444</v>
      </c>
      <c r="D9" s="97" t="s">
        <v>454</v>
      </c>
      <c r="E9" s="89"/>
      <c r="F9" s="89" t="s">
        <v>180</v>
      </c>
      <c r="G9" s="89" t="s">
        <v>181</v>
      </c>
      <c r="H9" s="89"/>
      <c r="I9" s="89"/>
      <c r="J9" s="98">
        <v>46203.0</v>
      </c>
      <c r="K9" s="89" t="s">
        <v>177</v>
      </c>
      <c r="L9" s="89" t="s">
        <v>1</v>
      </c>
      <c r="M9" s="89" t="s">
        <v>2</v>
      </c>
      <c r="N9" s="89"/>
      <c r="O9" s="89"/>
      <c r="P9" s="89"/>
    </row>
    <row r="10">
      <c r="A10" s="89" t="s">
        <v>199</v>
      </c>
      <c r="B10" s="94" t="s">
        <v>36</v>
      </c>
      <c r="C10" s="89" t="s">
        <v>444</v>
      </c>
      <c r="D10" s="97" t="s">
        <v>455</v>
      </c>
      <c r="E10" s="89"/>
      <c r="F10" s="89" t="s">
        <v>180</v>
      </c>
      <c r="G10" s="89" t="s">
        <v>181</v>
      </c>
      <c r="H10" s="89"/>
      <c r="I10" s="89"/>
      <c r="J10" s="98">
        <v>46234.0</v>
      </c>
      <c r="K10" s="89" t="s">
        <v>177</v>
      </c>
      <c r="L10" s="89" t="s">
        <v>1</v>
      </c>
      <c r="M10" s="89" t="s">
        <v>2</v>
      </c>
      <c r="N10" s="89"/>
      <c r="O10" s="89"/>
      <c r="P10" s="89"/>
    </row>
    <row r="11">
      <c r="A11" s="100" t="s">
        <v>199</v>
      </c>
      <c r="B11" s="86" t="s">
        <v>456</v>
      </c>
      <c r="C11" s="100" t="s">
        <v>1</v>
      </c>
      <c r="D11" s="85" t="s">
        <v>457</v>
      </c>
      <c r="E11" s="89"/>
      <c r="F11" s="86" t="s">
        <v>174</v>
      </c>
      <c r="G11" s="89"/>
      <c r="H11" s="100" t="s">
        <v>458</v>
      </c>
      <c r="I11" s="89"/>
      <c r="J11" s="101">
        <v>46142.0</v>
      </c>
      <c r="K11" s="89"/>
      <c r="L11" s="100" t="s">
        <v>459</v>
      </c>
      <c r="M11" s="89"/>
      <c r="N11" s="89"/>
      <c r="O11" s="89"/>
      <c r="P11" s="89"/>
    </row>
    <row r="12">
      <c r="A12" s="100" t="s">
        <v>199</v>
      </c>
      <c r="B12" s="86" t="s">
        <v>456</v>
      </c>
      <c r="C12" s="100" t="s">
        <v>1</v>
      </c>
      <c r="D12" s="85" t="s">
        <v>460</v>
      </c>
      <c r="E12" s="89"/>
      <c r="F12" s="86" t="s">
        <v>174</v>
      </c>
      <c r="G12" s="89"/>
      <c r="H12" s="100" t="s">
        <v>458</v>
      </c>
      <c r="I12" s="89"/>
      <c r="J12" s="101">
        <v>46172.0</v>
      </c>
      <c r="K12" s="89"/>
      <c r="L12" s="100" t="s">
        <v>459</v>
      </c>
      <c r="M12" s="89"/>
      <c r="N12" s="89"/>
      <c r="O12" s="89"/>
      <c r="P12" s="89"/>
    </row>
    <row r="13">
      <c r="A13" s="89" t="s">
        <v>199</v>
      </c>
      <c r="B13" s="94" t="s">
        <v>456</v>
      </c>
      <c r="C13" s="89" t="s">
        <v>1</v>
      </c>
      <c r="D13" s="99" t="s">
        <v>461</v>
      </c>
      <c r="E13" s="89"/>
      <c r="F13" s="89" t="s">
        <v>180</v>
      </c>
      <c r="G13" s="89" t="s">
        <v>181</v>
      </c>
      <c r="H13" s="89" t="s">
        <v>204</v>
      </c>
      <c r="I13" s="89"/>
      <c r="J13" s="98">
        <v>46203.0</v>
      </c>
      <c r="K13" s="89" t="s">
        <v>177</v>
      </c>
      <c r="L13" s="89" t="s">
        <v>6</v>
      </c>
      <c r="M13" s="89" t="s">
        <v>2</v>
      </c>
      <c r="N13" s="89"/>
      <c r="O13" s="89"/>
      <c r="P13" s="89"/>
    </row>
    <row r="14">
      <c r="A14" s="89" t="s">
        <v>199</v>
      </c>
      <c r="B14" s="94" t="s">
        <v>456</v>
      </c>
      <c r="C14" s="89" t="s">
        <v>1</v>
      </c>
      <c r="D14" s="99" t="s">
        <v>462</v>
      </c>
      <c r="E14" s="89"/>
      <c r="F14" s="89"/>
      <c r="G14" s="89"/>
      <c r="H14" s="89" t="s">
        <v>204</v>
      </c>
      <c r="I14" s="89"/>
      <c r="J14" s="98">
        <v>46218.0</v>
      </c>
      <c r="K14" s="89"/>
      <c r="L14" s="89" t="s">
        <v>463</v>
      </c>
      <c r="M14" s="89"/>
      <c r="N14" s="89"/>
      <c r="O14" s="89"/>
      <c r="P14" s="89"/>
    </row>
    <row r="15">
      <c r="A15" s="89" t="s">
        <v>199</v>
      </c>
      <c r="B15" s="94" t="s">
        <v>456</v>
      </c>
      <c r="C15" s="89" t="s">
        <v>1</v>
      </c>
      <c r="D15" s="99" t="s">
        <v>464</v>
      </c>
      <c r="E15" s="89"/>
      <c r="F15" s="89" t="s">
        <v>180</v>
      </c>
      <c r="G15" s="89" t="s">
        <v>181</v>
      </c>
      <c r="H15" s="89" t="s">
        <v>204</v>
      </c>
      <c r="I15" s="89"/>
      <c r="J15" s="98">
        <v>46234.0</v>
      </c>
      <c r="K15" s="89" t="s">
        <v>177</v>
      </c>
      <c r="L15" s="89" t="s">
        <v>6</v>
      </c>
      <c r="M15" s="89" t="s">
        <v>2</v>
      </c>
      <c r="N15" s="89"/>
      <c r="O15" s="89"/>
      <c r="P15" s="89"/>
    </row>
    <row r="16">
      <c r="A16" s="102" t="s">
        <v>199</v>
      </c>
      <c r="B16" s="102" t="s">
        <v>465</v>
      </c>
      <c r="C16" s="102" t="s">
        <v>1</v>
      </c>
      <c r="D16" s="103" t="s">
        <v>466</v>
      </c>
      <c r="E16" s="94"/>
      <c r="F16" s="102" t="s">
        <v>180</v>
      </c>
      <c r="G16" s="102" t="s">
        <v>181</v>
      </c>
      <c r="H16" s="102" t="s">
        <v>204</v>
      </c>
      <c r="I16" s="89"/>
      <c r="J16" s="104">
        <v>46173.0</v>
      </c>
      <c r="K16" s="102" t="s">
        <v>177</v>
      </c>
      <c r="L16" s="102" t="s">
        <v>467</v>
      </c>
      <c r="M16" s="102" t="s">
        <v>2</v>
      </c>
      <c r="N16" s="89"/>
      <c r="O16" s="89"/>
      <c r="P16" s="89"/>
    </row>
    <row r="17">
      <c r="A17" s="100" t="s">
        <v>199</v>
      </c>
      <c r="B17" s="86" t="s">
        <v>17</v>
      </c>
      <c r="C17" s="100" t="s">
        <v>468</v>
      </c>
      <c r="D17" s="84" t="s">
        <v>469</v>
      </c>
      <c r="E17" s="94"/>
      <c r="F17" s="89"/>
      <c r="G17" s="100" t="s">
        <v>181</v>
      </c>
      <c r="H17" s="100" t="s">
        <v>470</v>
      </c>
      <c r="I17" s="89"/>
      <c r="J17" s="101">
        <v>46173.0</v>
      </c>
      <c r="K17" s="100" t="s">
        <v>177</v>
      </c>
      <c r="L17" s="100" t="s">
        <v>467</v>
      </c>
      <c r="M17" s="100" t="s">
        <v>2</v>
      </c>
      <c r="N17" s="89"/>
      <c r="O17" s="89"/>
      <c r="P17" s="89"/>
    </row>
    <row r="18">
      <c r="A18" s="100" t="s">
        <v>199</v>
      </c>
      <c r="B18" s="86" t="s">
        <v>17</v>
      </c>
      <c r="C18" s="100" t="s">
        <v>468</v>
      </c>
      <c r="D18" s="84" t="s">
        <v>471</v>
      </c>
      <c r="E18" s="94"/>
      <c r="F18" s="89"/>
      <c r="G18" s="89"/>
      <c r="H18" s="100" t="s">
        <v>470</v>
      </c>
      <c r="I18" s="89"/>
      <c r="J18" s="96"/>
      <c r="K18" s="89"/>
      <c r="L18" s="89"/>
      <c r="M18" s="89"/>
      <c r="N18" s="89"/>
      <c r="O18" s="89"/>
      <c r="P18" s="89"/>
    </row>
    <row r="19">
      <c r="A19" s="100" t="s">
        <v>199</v>
      </c>
      <c r="B19" s="86" t="s">
        <v>17</v>
      </c>
      <c r="C19" s="100" t="s">
        <v>468</v>
      </c>
      <c r="D19" s="84" t="s">
        <v>472</v>
      </c>
      <c r="E19" s="94"/>
      <c r="F19" s="89"/>
      <c r="G19" s="89"/>
      <c r="H19" s="100" t="s">
        <v>470</v>
      </c>
      <c r="I19" s="89"/>
      <c r="J19" s="96"/>
      <c r="K19" s="89"/>
      <c r="L19" s="89"/>
      <c r="M19" s="89"/>
      <c r="N19" s="89"/>
      <c r="O19" s="89"/>
      <c r="P19" s="89"/>
    </row>
    <row r="20">
      <c r="A20" s="100" t="s">
        <v>199</v>
      </c>
      <c r="B20" s="86" t="s">
        <v>17</v>
      </c>
      <c r="C20" s="100" t="s">
        <v>468</v>
      </c>
      <c r="D20" s="84" t="s">
        <v>473</v>
      </c>
      <c r="E20" s="94"/>
      <c r="F20" s="89"/>
      <c r="G20" s="100" t="s">
        <v>181</v>
      </c>
      <c r="H20" s="100" t="s">
        <v>474</v>
      </c>
      <c r="I20" s="89"/>
      <c r="J20" s="96"/>
      <c r="K20" s="89"/>
      <c r="L20" s="89"/>
      <c r="M20" s="89"/>
      <c r="N20" s="89"/>
      <c r="O20" s="89"/>
      <c r="P20" s="89"/>
    </row>
    <row r="21">
      <c r="A21" s="100" t="s">
        <v>199</v>
      </c>
      <c r="B21" s="86" t="s">
        <v>17</v>
      </c>
      <c r="C21" s="100" t="s">
        <v>468</v>
      </c>
      <c r="D21" s="84" t="s">
        <v>475</v>
      </c>
      <c r="E21" s="94"/>
      <c r="F21" s="89"/>
      <c r="G21" s="89"/>
      <c r="H21" s="100" t="s">
        <v>474</v>
      </c>
      <c r="I21" s="89"/>
      <c r="J21" s="96"/>
      <c r="K21" s="89"/>
      <c r="L21" s="89"/>
      <c r="M21" s="89"/>
      <c r="N21" s="89"/>
      <c r="O21" s="89"/>
      <c r="P21" s="89"/>
    </row>
    <row r="22">
      <c r="A22" s="100" t="s">
        <v>199</v>
      </c>
      <c r="B22" s="86" t="s">
        <v>17</v>
      </c>
      <c r="C22" s="100" t="s">
        <v>468</v>
      </c>
      <c r="D22" s="84" t="s">
        <v>476</v>
      </c>
      <c r="E22" s="94"/>
      <c r="F22" s="89"/>
      <c r="G22" s="89"/>
      <c r="H22" s="100" t="s">
        <v>474</v>
      </c>
      <c r="I22" s="89"/>
      <c r="J22" s="96"/>
      <c r="K22" s="89"/>
      <c r="L22" s="89"/>
      <c r="M22" s="89"/>
      <c r="N22" s="89"/>
      <c r="O22" s="89"/>
      <c r="P22" s="89"/>
    </row>
    <row r="23">
      <c r="A23" s="100" t="s">
        <v>199</v>
      </c>
      <c r="B23" s="86" t="s">
        <v>17</v>
      </c>
      <c r="C23" s="100" t="s">
        <v>468</v>
      </c>
      <c r="D23" s="84" t="s">
        <v>477</v>
      </c>
      <c r="E23" s="94"/>
      <c r="F23" s="89"/>
      <c r="G23" s="100" t="s">
        <v>181</v>
      </c>
      <c r="H23" s="100" t="s">
        <v>474</v>
      </c>
      <c r="I23" s="89"/>
      <c r="J23" s="96"/>
      <c r="K23" s="89"/>
      <c r="L23" s="89"/>
      <c r="M23" s="89"/>
      <c r="N23" s="89"/>
      <c r="O23" s="89"/>
      <c r="P23" s="89"/>
    </row>
    <row r="24">
      <c r="A24" s="100" t="s">
        <v>199</v>
      </c>
      <c r="B24" s="86" t="s">
        <v>17</v>
      </c>
      <c r="C24" s="100" t="s">
        <v>468</v>
      </c>
      <c r="D24" s="84" t="s">
        <v>478</v>
      </c>
      <c r="E24" s="94"/>
      <c r="F24" s="89"/>
      <c r="G24" s="89"/>
      <c r="H24" s="100" t="s">
        <v>474</v>
      </c>
      <c r="I24" s="89"/>
      <c r="J24" s="96"/>
      <c r="K24" s="89"/>
      <c r="L24" s="89"/>
      <c r="M24" s="89"/>
      <c r="N24" s="89"/>
      <c r="O24" s="89"/>
      <c r="P24" s="89"/>
    </row>
    <row r="25">
      <c r="A25" s="100" t="s">
        <v>199</v>
      </c>
      <c r="B25" s="86" t="s">
        <v>17</v>
      </c>
      <c r="C25" s="100" t="s">
        <v>468</v>
      </c>
      <c r="D25" s="84" t="s">
        <v>479</v>
      </c>
      <c r="E25" s="94"/>
      <c r="F25" s="89"/>
      <c r="G25" s="89"/>
      <c r="H25" s="100" t="s">
        <v>474</v>
      </c>
      <c r="I25" s="89"/>
      <c r="J25" s="96"/>
      <c r="K25" s="89"/>
      <c r="L25" s="89"/>
      <c r="M25" s="89"/>
      <c r="N25" s="89"/>
      <c r="O25" s="89"/>
      <c r="P25" s="89"/>
    </row>
    <row r="26">
      <c r="A26" s="100" t="s">
        <v>199</v>
      </c>
      <c r="B26" s="86" t="s">
        <v>17</v>
      </c>
      <c r="C26" s="100" t="s">
        <v>468</v>
      </c>
      <c r="D26" s="84" t="s">
        <v>480</v>
      </c>
      <c r="E26" s="94"/>
      <c r="F26" s="89"/>
      <c r="G26" s="89"/>
      <c r="H26" s="100" t="s">
        <v>474</v>
      </c>
      <c r="I26" s="89"/>
      <c r="J26" s="96"/>
      <c r="K26" s="89"/>
      <c r="L26" s="89"/>
      <c r="M26" s="89"/>
      <c r="N26" s="89"/>
      <c r="O26" s="89"/>
      <c r="P26" s="89"/>
    </row>
    <row r="27">
      <c r="A27" s="100" t="s">
        <v>199</v>
      </c>
      <c r="B27" s="86" t="s">
        <v>17</v>
      </c>
      <c r="C27" s="100" t="s">
        <v>468</v>
      </c>
      <c r="D27" s="84" t="s">
        <v>481</v>
      </c>
      <c r="E27" s="94"/>
      <c r="F27" s="89"/>
      <c r="G27" s="89"/>
      <c r="H27" s="100" t="s">
        <v>474</v>
      </c>
      <c r="I27" s="89"/>
      <c r="J27" s="96"/>
      <c r="K27" s="89"/>
      <c r="L27" s="89"/>
      <c r="M27" s="89"/>
      <c r="N27" s="89"/>
      <c r="O27" s="89"/>
      <c r="P27" s="89"/>
    </row>
    <row r="28">
      <c r="A28" s="100" t="s">
        <v>199</v>
      </c>
      <c r="B28" s="86" t="s">
        <v>17</v>
      </c>
      <c r="C28" s="100" t="s">
        <v>468</v>
      </c>
      <c r="D28" s="84" t="s">
        <v>482</v>
      </c>
      <c r="E28" s="94"/>
      <c r="F28" s="89"/>
      <c r="G28" s="89"/>
      <c r="H28" s="100" t="s">
        <v>474</v>
      </c>
      <c r="I28" s="89"/>
      <c r="J28" s="96"/>
      <c r="K28" s="89"/>
      <c r="L28" s="89"/>
      <c r="M28" s="89"/>
      <c r="N28" s="89"/>
      <c r="O28" s="89"/>
      <c r="P28" s="89"/>
    </row>
    <row r="29">
      <c r="A29" s="100" t="s">
        <v>199</v>
      </c>
      <c r="B29" s="86" t="s">
        <v>17</v>
      </c>
      <c r="C29" s="100" t="s">
        <v>468</v>
      </c>
      <c r="D29" s="85" t="s">
        <v>483</v>
      </c>
      <c r="E29" s="94"/>
      <c r="F29" s="100" t="s">
        <v>180</v>
      </c>
      <c r="G29" s="100" t="s">
        <v>181</v>
      </c>
      <c r="H29" s="100" t="s">
        <v>204</v>
      </c>
      <c r="I29" s="89"/>
      <c r="J29" s="101">
        <v>46223.0</v>
      </c>
      <c r="K29" s="100" t="s">
        <v>177</v>
      </c>
      <c r="L29" s="100" t="s">
        <v>2</v>
      </c>
      <c r="M29" s="100" t="s">
        <v>2</v>
      </c>
      <c r="N29" s="89"/>
      <c r="O29" s="89"/>
      <c r="P29" s="89"/>
    </row>
    <row r="30">
      <c r="A30" s="89" t="s">
        <v>199</v>
      </c>
      <c r="B30" s="89" t="s">
        <v>465</v>
      </c>
      <c r="C30" s="89" t="s">
        <v>1</v>
      </c>
      <c r="D30" s="99" t="s">
        <v>484</v>
      </c>
      <c r="E30" s="105" t="s">
        <v>485</v>
      </c>
      <c r="F30" s="89" t="s">
        <v>180</v>
      </c>
      <c r="G30" s="89" t="s">
        <v>181</v>
      </c>
      <c r="H30" s="89"/>
      <c r="I30" s="89"/>
      <c r="J30" s="98">
        <v>46234.0</v>
      </c>
      <c r="K30" s="89" t="s">
        <v>177</v>
      </c>
      <c r="L30" s="89" t="s">
        <v>211</v>
      </c>
      <c r="M30" s="89" t="s">
        <v>2</v>
      </c>
      <c r="N30" s="89"/>
      <c r="O30" s="89"/>
      <c r="P30" s="89"/>
    </row>
    <row r="31">
      <c r="A31" s="89" t="s">
        <v>199</v>
      </c>
      <c r="B31" s="89" t="s">
        <v>465</v>
      </c>
      <c r="C31" s="89" t="s">
        <v>1</v>
      </c>
      <c r="D31" s="99" t="s">
        <v>486</v>
      </c>
      <c r="E31" s="89"/>
      <c r="F31" s="89" t="s">
        <v>180</v>
      </c>
      <c r="G31" s="89" t="s">
        <v>181</v>
      </c>
      <c r="H31" s="89"/>
      <c r="I31" s="89"/>
      <c r="J31" s="98">
        <v>46243.0</v>
      </c>
      <c r="K31" s="89" t="s">
        <v>177</v>
      </c>
      <c r="L31" s="89" t="s">
        <v>211</v>
      </c>
      <c r="M31" s="89" t="s">
        <v>2</v>
      </c>
      <c r="N31" s="89"/>
      <c r="O31" s="89"/>
      <c r="P31" s="89"/>
    </row>
    <row r="32">
      <c r="A32" s="89" t="s">
        <v>188</v>
      </c>
      <c r="B32" s="89" t="s">
        <v>24</v>
      </c>
      <c r="C32" s="89" t="s">
        <v>1</v>
      </c>
      <c r="D32" s="77" t="s">
        <v>487</v>
      </c>
      <c r="E32" s="89"/>
      <c r="F32" s="89" t="s">
        <v>185</v>
      </c>
      <c r="G32" s="89" t="s">
        <v>186</v>
      </c>
      <c r="H32" s="89"/>
      <c r="I32" s="89"/>
      <c r="J32" s="98">
        <v>46265.0</v>
      </c>
      <c r="K32" s="89" t="s">
        <v>177</v>
      </c>
      <c r="L32" s="89" t="s">
        <v>6</v>
      </c>
      <c r="M32" s="89" t="s">
        <v>1</v>
      </c>
      <c r="N32" s="89"/>
      <c r="O32" s="89"/>
      <c r="P32" s="89"/>
    </row>
    <row r="33">
      <c r="A33" s="106" t="s">
        <v>188</v>
      </c>
      <c r="B33" s="107" t="s">
        <v>77</v>
      </c>
      <c r="C33" s="106" t="s">
        <v>1</v>
      </c>
      <c r="D33" s="108" t="s">
        <v>488</v>
      </c>
      <c r="E33" s="109" t="s">
        <v>489</v>
      </c>
      <c r="F33" s="106" t="s">
        <v>185</v>
      </c>
      <c r="G33" s="106" t="s">
        <v>186</v>
      </c>
      <c r="H33" s="89"/>
      <c r="I33" s="89"/>
      <c r="J33" s="110">
        <v>46218.0</v>
      </c>
      <c r="K33" s="106" t="s">
        <v>177</v>
      </c>
      <c r="L33" s="106" t="s">
        <v>6</v>
      </c>
      <c r="M33" s="106" t="s">
        <v>6</v>
      </c>
      <c r="N33" s="89"/>
      <c r="O33" s="89"/>
      <c r="P33" s="89"/>
    </row>
    <row r="34">
      <c r="A34" s="100" t="s">
        <v>199</v>
      </c>
      <c r="B34" s="86" t="s">
        <v>77</v>
      </c>
      <c r="C34" s="100" t="s">
        <v>251</v>
      </c>
      <c r="D34" s="84" t="s">
        <v>490</v>
      </c>
      <c r="E34" s="94"/>
      <c r="F34" s="89"/>
      <c r="G34" s="89"/>
      <c r="H34" s="100" t="s">
        <v>204</v>
      </c>
      <c r="I34" s="89"/>
      <c r="J34" s="96"/>
      <c r="K34" s="89"/>
      <c r="L34" s="89"/>
      <c r="M34" s="89"/>
      <c r="N34" s="89"/>
      <c r="O34" s="89"/>
      <c r="P34" s="89"/>
    </row>
    <row r="35">
      <c r="A35" s="100" t="s">
        <v>199</v>
      </c>
      <c r="B35" s="86" t="s">
        <v>77</v>
      </c>
      <c r="C35" s="100" t="s">
        <v>251</v>
      </c>
      <c r="D35" s="84" t="s">
        <v>491</v>
      </c>
      <c r="E35" s="84" t="s">
        <v>492</v>
      </c>
      <c r="F35" s="89"/>
      <c r="G35" s="89"/>
      <c r="H35" s="89"/>
      <c r="I35" s="89"/>
      <c r="J35" s="96"/>
      <c r="K35" s="89"/>
      <c r="L35" s="89"/>
      <c r="M35" s="89"/>
      <c r="N35" s="89"/>
      <c r="O35" s="89"/>
      <c r="P35" s="89"/>
    </row>
    <row r="36">
      <c r="A36" s="100" t="s">
        <v>199</v>
      </c>
      <c r="B36" s="111" t="s">
        <v>77</v>
      </c>
      <c r="C36" s="112" t="s">
        <v>251</v>
      </c>
      <c r="D36" s="113" t="s">
        <v>493</v>
      </c>
      <c r="E36" s="113" t="s">
        <v>494</v>
      </c>
      <c r="F36" s="90"/>
      <c r="G36" s="90"/>
      <c r="H36" s="112" t="s">
        <v>204</v>
      </c>
      <c r="I36" s="90"/>
      <c r="J36" s="114"/>
      <c r="K36" s="90"/>
      <c r="L36" s="90"/>
      <c r="M36" s="90"/>
      <c r="N36" s="90"/>
      <c r="O36" s="113" t="s">
        <v>495</v>
      </c>
      <c r="P36" s="94"/>
    </row>
    <row r="37">
      <c r="A37" s="100" t="s">
        <v>199</v>
      </c>
      <c r="B37" s="112" t="s">
        <v>77</v>
      </c>
      <c r="C37" s="112" t="s">
        <v>251</v>
      </c>
      <c r="D37" s="115" t="s">
        <v>496</v>
      </c>
      <c r="E37" s="115" t="s">
        <v>494</v>
      </c>
      <c r="F37" s="90"/>
      <c r="G37" s="90"/>
      <c r="H37" s="90"/>
      <c r="I37" s="90"/>
      <c r="J37" s="114"/>
      <c r="K37" s="90"/>
      <c r="L37" s="90"/>
      <c r="M37" s="90"/>
      <c r="N37" s="90"/>
      <c r="O37" s="90"/>
      <c r="P37" s="89"/>
    </row>
    <row r="38">
      <c r="A38" s="100" t="s">
        <v>199</v>
      </c>
      <c r="B38" s="112" t="s">
        <v>77</v>
      </c>
      <c r="C38" s="112" t="s">
        <v>251</v>
      </c>
      <c r="D38" s="113" t="s">
        <v>497</v>
      </c>
      <c r="E38" s="113" t="s">
        <v>494</v>
      </c>
      <c r="F38" s="90"/>
      <c r="G38" s="90"/>
      <c r="H38" s="90"/>
      <c r="I38" s="90"/>
      <c r="J38" s="114"/>
      <c r="K38" s="90"/>
      <c r="L38" s="90"/>
      <c r="M38" s="90"/>
      <c r="N38" s="90"/>
      <c r="O38" s="90"/>
      <c r="P38" s="89"/>
    </row>
    <row r="39">
      <c r="A39" s="100" t="s">
        <v>199</v>
      </c>
      <c r="B39" s="116" t="s">
        <v>78</v>
      </c>
      <c r="C39" s="100" t="s">
        <v>1</v>
      </c>
      <c r="D39" s="84" t="s">
        <v>498</v>
      </c>
      <c r="E39" s="94"/>
      <c r="F39" s="100" t="s">
        <v>185</v>
      </c>
      <c r="G39" s="100" t="s">
        <v>186</v>
      </c>
      <c r="H39" s="89"/>
      <c r="I39" s="89"/>
      <c r="J39" s="101">
        <v>46218.0</v>
      </c>
      <c r="K39" s="89"/>
      <c r="L39" s="100" t="s">
        <v>6</v>
      </c>
      <c r="M39" s="89"/>
      <c r="N39" s="89"/>
      <c r="O39" s="94"/>
      <c r="P39" s="94"/>
    </row>
    <row r="40">
      <c r="A40" s="89" t="s">
        <v>199</v>
      </c>
      <c r="B40" s="117" t="s">
        <v>78</v>
      </c>
      <c r="C40" s="89" t="s">
        <v>1</v>
      </c>
      <c r="D40" s="118" t="s">
        <v>499</v>
      </c>
      <c r="E40" s="118" t="s">
        <v>500</v>
      </c>
      <c r="F40" s="89" t="s">
        <v>180</v>
      </c>
      <c r="G40" s="89" t="s">
        <v>186</v>
      </c>
      <c r="H40" s="89" t="s">
        <v>501</v>
      </c>
      <c r="I40" s="89"/>
      <c r="J40" s="98">
        <v>46295.0</v>
      </c>
      <c r="K40" s="89"/>
      <c r="L40" s="89" t="s">
        <v>502</v>
      </c>
      <c r="M40" s="89"/>
      <c r="N40" s="89"/>
      <c r="O40" s="89"/>
      <c r="P40" s="89"/>
    </row>
    <row r="41">
      <c r="A41" s="89"/>
      <c r="B41" s="89"/>
      <c r="C41" s="89"/>
      <c r="D41" s="118" t="s">
        <v>503</v>
      </c>
      <c r="E41" s="118" t="s">
        <v>500</v>
      </c>
      <c r="F41" s="89"/>
      <c r="G41" s="89"/>
      <c r="H41" s="89"/>
      <c r="I41" s="89"/>
      <c r="J41" s="96"/>
      <c r="K41" s="89"/>
      <c r="L41" s="89"/>
      <c r="M41" s="89"/>
      <c r="N41" s="89"/>
      <c r="O41" s="77" t="s">
        <v>504</v>
      </c>
      <c r="P41" s="89"/>
    </row>
    <row r="42">
      <c r="A42" s="89" t="s">
        <v>188</v>
      </c>
      <c r="B42" s="89" t="s">
        <v>24</v>
      </c>
      <c r="C42" s="89" t="s">
        <v>1</v>
      </c>
      <c r="D42" s="118" t="s">
        <v>505</v>
      </c>
      <c r="E42" s="89"/>
      <c r="F42" s="89" t="s">
        <v>180</v>
      </c>
      <c r="G42" s="89" t="s">
        <v>186</v>
      </c>
      <c r="H42" s="89"/>
      <c r="I42" s="89"/>
      <c r="J42" s="98">
        <v>46356.0</v>
      </c>
      <c r="K42" s="89" t="s">
        <v>177</v>
      </c>
      <c r="L42" s="89" t="s">
        <v>6</v>
      </c>
      <c r="M42" s="89" t="s">
        <v>506</v>
      </c>
      <c r="N42" s="89"/>
      <c r="O42" s="89"/>
      <c r="P42" s="89"/>
    </row>
    <row r="43">
      <c r="A43" s="89" t="s">
        <v>188</v>
      </c>
      <c r="B43" s="89" t="s">
        <v>24</v>
      </c>
      <c r="C43" s="89" t="s">
        <v>1</v>
      </c>
      <c r="D43" s="118" t="s">
        <v>507</v>
      </c>
      <c r="E43" s="89"/>
      <c r="F43" s="89" t="s">
        <v>180</v>
      </c>
      <c r="G43" s="89" t="s">
        <v>186</v>
      </c>
      <c r="H43" s="89"/>
      <c r="I43" s="89"/>
      <c r="J43" s="98">
        <v>46356.0</v>
      </c>
      <c r="K43" s="89" t="s">
        <v>177</v>
      </c>
      <c r="L43" s="89" t="s">
        <v>6</v>
      </c>
      <c r="M43" s="89" t="s">
        <v>506</v>
      </c>
      <c r="N43" s="89"/>
      <c r="O43" s="89"/>
      <c r="P43" s="89"/>
    </row>
    <row r="44">
      <c r="A44" s="89" t="s">
        <v>188</v>
      </c>
      <c r="B44" s="89" t="s">
        <v>24</v>
      </c>
      <c r="C44" s="89" t="s">
        <v>1</v>
      </c>
      <c r="D44" s="118" t="s">
        <v>508</v>
      </c>
      <c r="E44" s="89"/>
      <c r="F44" s="89" t="s">
        <v>180</v>
      </c>
      <c r="G44" s="89" t="s">
        <v>186</v>
      </c>
      <c r="H44" s="89"/>
      <c r="I44" s="89"/>
      <c r="J44" s="98">
        <v>46356.0</v>
      </c>
      <c r="K44" s="89" t="s">
        <v>177</v>
      </c>
      <c r="L44" s="89" t="s">
        <v>6</v>
      </c>
      <c r="M44" s="89" t="s">
        <v>506</v>
      </c>
      <c r="N44" s="89"/>
      <c r="O44" s="89"/>
      <c r="P44" s="89"/>
    </row>
    <row r="45">
      <c r="A45" s="89" t="s">
        <v>188</v>
      </c>
      <c r="B45" s="89" t="s">
        <v>24</v>
      </c>
      <c r="C45" s="89" t="s">
        <v>1</v>
      </c>
      <c r="D45" s="118" t="s">
        <v>509</v>
      </c>
      <c r="E45" s="89"/>
      <c r="F45" s="89" t="s">
        <v>180</v>
      </c>
      <c r="G45" s="89" t="s">
        <v>186</v>
      </c>
      <c r="H45" s="89"/>
      <c r="I45" s="89"/>
      <c r="J45" s="98">
        <v>46446.0</v>
      </c>
      <c r="K45" s="89" t="s">
        <v>177</v>
      </c>
      <c r="L45" s="89" t="s">
        <v>6</v>
      </c>
      <c r="M45" s="89" t="s">
        <v>506</v>
      </c>
      <c r="N45" s="89"/>
      <c r="O45" s="89"/>
      <c r="P45" s="89"/>
    </row>
    <row r="46">
      <c r="A46" s="89" t="s">
        <v>188</v>
      </c>
      <c r="B46" s="89" t="s">
        <v>24</v>
      </c>
      <c r="C46" s="89" t="s">
        <v>1</v>
      </c>
      <c r="D46" s="118" t="s">
        <v>510</v>
      </c>
      <c r="E46" s="89"/>
      <c r="F46" s="89" t="s">
        <v>180</v>
      </c>
      <c r="G46" s="89" t="s">
        <v>186</v>
      </c>
      <c r="H46" s="89"/>
      <c r="I46" s="89"/>
      <c r="J46" s="98">
        <v>46446.0</v>
      </c>
      <c r="K46" s="89" t="s">
        <v>177</v>
      </c>
      <c r="L46" s="89" t="s">
        <v>6</v>
      </c>
      <c r="M46" s="89" t="s">
        <v>506</v>
      </c>
      <c r="N46" s="89"/>
      <c r="O46" s="89"/>
      <c r="P46" s="89"/>
    </row>
    <row r="47">
      <c r="A47" s="89" t="s">
        <v>188</v>
      </c>
      <c r="B47" s="89" t="s">
        <v>24</v>
      </c>
      <c r="C47" s="89" t="s">
        <v>1</v>
      </c>
      <c r="D47" s="118" t="s">
        <v>511</v>
      </c>
      <c r="E47" s="89"/>
      <c r="F47" s="89" t="s">
        <v>180</v>
      </c>
      <c r="G47" s="89" t="s">
        <v>186</v>
      </c>
      <c r="H47" s="89"/>
      <c r="I47" s="89"/>
      <c r="J47" s="98">
        <v>46446.0</v>
      </c>
      <c r="K47" s="89" t="s">
        <v>177</v>
      </c>
      <c r="L47" s="89" t="s">
        <v>6</v>
      </c>
      <c r="M47" s="89" t="s">
        <v>506</v>
      </c>
      <c r="N47" s="89"/>
      <c r="O47" s="89"/>
      <c r="P47" s="89"/>
    </row>
    <row r="48">
      <c r="A48" s="89" t="s">
        <v>188</v>
      </c>
      <c r="B48" s="89" t="s">
        <v>24</v>
      </c>
      <c r="C48" s="89" t="s">
        <v>1</v>
      </c>
      <c r="D48" s="118" t="s">
        <v>512</v>
      </c>
      <c r="E48" s="89"/>
      <c r="F48" s="89" t="s">
        <v>180</v>
      </c>
      <c r="G48" s="89" t="s">
        <v>186</v>
      </c>
      <c r="H48" s="89"/>
      <c r="I48" s="89"/>
      <c r="J48" s="98">
        <v>46549.0</v>
      </c>
      <c r="K48" s="89" t="s">
        <v>177</v>
      </c>
      <c r="L48" s="89" t="s">
        <v>6</v>
      </c>
      <c r="M48" s="89" t="s">
        <v>506</v>
      </c>
      <c r="N48" s="89"/>
      <c r="O48" s="89"/>
      <c r="P48" s="89"/>
    </row>
    <row r="49">
      <c r="A49" s="89" t="s">
        <v>188</v>
      </c>
      <c r="B49" s="89" t="s">
        <v>24</v>
      </c>
      <c r="C49" s="89" t="s">
        <v>1</v>
      </c>
      <c r="D49" s="118" t="s">
        <v>513</v>
      </c>
      <c r="E49" s="94"/>
      <c r="F49" s="89" t="s">
        <v>180</v>
      </c>
      <c r="G49" s="89" t="s">
        <v>186</v>
      </c>
      <c r="H49" s="89"/>
      <c r="I49" s="89"/>
      <c r="J49" s="98">
        <v>46549.0</v>
      </c>
      <c r="K49" s="89" t="s">
        <v>177</v>
      </c>
      <c r="L49" s="89" t="s">
        <v>6</v>
      </c>
      <c r="M49" s="89" t="s">
        <v>506</v>
      </c>
      <c r="N49" s="89"/>
      <c r="O49" s="89"/>
      <c r="P49" s="89"/>
    </row>
    <row r="50">
      <c r="A50" s="89" t="s">
        <v>188</v>
      </c>
      <c r="B50" s="89" t="s">
        <v>24</v>
      </c>
      <c r="C50" s="89" t="s">
        <v>1</v>
      </c>
      <c r="D50" s="118" t="s">
        <v>514</v>
      </c>
      <c r="E50" s="89"/>
      <c r="F50" s="89" t="s">
        <v>180</v>
      </c>
      <c r="G50" s="89" t="s">
        <v>186</v>
      </c>
      <c r="H50" s="89"/>
      <c r="I50" s="89"/>
      <c r="J50" s="98">
        <v>46549.0</v>
      </c>
      <c r="K50" s="89" t="s">
        <v>177</v>
      </c>
      <c r="L50" s="89" t="s">
        <v>6</v>
      </c>
      <c r="M50" s="89" t="s">
        <v>506</v>
      </c>
      <c r="N50" s="89"/>
      <c r="O50" s="89"/>
      <c r="P50" s="89"/>
    </row>
    <row r="51">
      <c r="A51" s="100" t="s">
        <v>199</v>
      </c>
      <c r="B51" s="116" t="s">
        <v>79</v>
      </c>
      <c r="C51" s="119" t="s">
        <v>515</v>
      </c>
      <c r="D51" s="120" t="s">
        <v>516</v>
      </c>
      <c r="E51" s="86"/>
      <c r="F51" s="100"/>
      <c r="G51" s="100"/>
      <c r="H51" s="100"/>
      <c r="I51" s="100"/>
      <c r="J51" s="101"/>
      <c r="K51" s="100"/>
      <c r="L51" s="100"/>
      <c r="M51" s="100"/>
      <c r="N51" s="100"/>
      <c r="O51" s="100"/>
      <c r="P51" s="100"/>
    </row>
    <row r="52">
      <c r="A52" s="100" t="s">
        <v>199</v>
      </c>
      <c r="B52" s="116" t="s">
        <v>79</v>
      </c>
      <c r="C52" s="119" t="s">
        <v>515</v>
      </c>
      <c r="D52" s="120" t="s">
        <v>517</v>
      </c>
      <c r="E52" s="86"/>
      <c r="F52" s="100"/>
      <c r="G52" s="100"/>
      <c r="H52" s="100"/>
      <c r="I52" s="100"/>
      <c r="J52" s="101"/>
      <c r="K52" s="100"/>
      <c r="L52" s="100"/>
      <c r="M52" s="100"/>
      <c r="N52" s="100"/>
      <c r="O52" s="100"/>
      <c r="P52" s="100"/>
    </row>
    <row r="53">
      <c r="A53" s="100" t="s">
        <v>199</v>
      </c>
      <c r="B53" s="116" t="s">
        <v>79</v>
      </c>
      <c r="C53" s="119" t="s">
        <v>515</v>
      </c>
      <c r="D53" s="120" t="s">
        <v>518</v>
      </c>
      <c r="E53" s="86"/>
      <c r="F53" s="100"/>
      <c r="G53" s="100"/>
      <c r="H53" s="100"/>
      <c r="I53" s="100"/>
      <c r="J53" s="101"/>
      <c r="K53" s="100"/>
      <c r="L53" s="100"/>
      <c r="M53" s="100"/>
      <c r="N53" s="100"/>
      <c r="O53" s="100"/>
      <c r="P53" s="100"/>
    </row>
    <row r="54">
      <c r="A54" s="112" t="s">
        <v>199</v>
      </c>
      <c r="B54" s="121" t="s">
        <v>79</v>
      </c>
      <c r="C54" s="122" t="s">
        <v>515</v>
      </c>
      <c r="D54" s="123" t="s">
        <v>519</v>
      </c>
      <c r="E54" s="121" t="s">
        <v>520</v>
      </c>
      <c r="F54" s="112"/>
      <c r="G54" s="112"/>
      <c r="H54" s="112"/>
      <c r="I54" s="112"/>
      <c r="J54" s="124"/>
      <c r="K54" s="112"/>
      <c r="L54" s="112"/>
      <c r="M54" s="112"/>
      <c r="N54" s="112"/>
      <c r="O54" s="112"/>
      <c r="P54" s="112"/>
    </row>
    <row r="55">
      <c r="A55" s="112" t="s">
        <v>199</v>
      </c>
      <c r="B55" s="121" t="s">
        <v>79</v>
      </c>
      <c r="C55" s="122" t="s">
        <v>515</v>
      </c>
      <c r="D55" s="123" t="s">
        <v>521</v>
      </c>
      <c r="E55" s="121" t="s">
        <v>520</v>
      </c>
      <c r="F55" s="112"/>
      <c r="G55" s="112"/>
      <c r="H55" s="112"/>
      <c r="I55" s="112"/>
      <c r="J55" s="124"/>
      <c r="K55" s="112"/>
      <c r="L55" s="112"/>
      <c r="M55" s="112"/>
      <c r="N55" s="112"/>
      <c r="O55" s="112"/>
      <c r="P55" s="112"/>
    </row>
    <row r="56">
      <c r="A56" s="112" t="s">
        <v>199</v>
      </c>
      <c r="B56" s="121" t="s">
        <v>79</v>
      </c>
      <c r="C56" s="122" t="s">
        <v>515</v>
      </c>
      <c r="D56" s="123" t="s">
        <v>522</v>
      </c>
      <c r="E56" s="121" t="s">
        <v>520</v>
      </c>
      <c r="F56" s="112"/>
      <c r="G56" s="112"/>
      <c r="H56" s="112"/>
      <c r="I56" s="112"/>
      <c r="J56" s="124"/>
      <c r="K56" s="112"/>
      <c r="L56" s="112"/>
      <c r="M56" s="112"/>
      <c r="N56" s="112"/>
      <c r="O56" s="112"/>
      <c r="P56" s="112"/>
    </row>
    <row r="57">
      <c r="A57" s="112" t="s">
        <v>199</v>
      </c>
      <c r="B57" s="121" t="s">
        <v>79</v>
      </c>
      <c r="C57" s="112" t="s">
        <v>1</v>
      </c>
      <c r="D57" s="115" t="s">
        <v>523</v>
      </c>
      <c r="E57" s="113" t="s">
        <v>524</v>
      </c>
      <c r="F57" s="112" t="s">
        <v>174</v>
      </c>
      <c r="G57" s="112" t="s">
        <v>186</v>
      </c>
      <c r="H57" s="112"/>
      <c r="I57" s="112"/>
      <c r="J57" s="124">
        <v>46326.0</v>
      </c>
      <c r="K57" s="112" t="s">
        <v>177</v>
      </c>
      <c r="L57" s="112" t="s">
        <v>6</v>
      </c>
      <c r="M57" s="112" t="s">
        <v>506</v>
      </c>
      <c r="N57" s="112"/>
      <c r="O57" s="112"/>
      <c r="P57" s="112"/>
    </row>
    <row r="58">
      <c r="A58" s="112" t="s">
        <v>199</v>
      </c>
      <c r="B58" s="121" t="s">
        <v>79</v>
      </c>
      <c r="C58" s="112" t="s">
        <v>1</v>
      </c>
      <c r="D58" s="115" t="s">
        <v>525</v>
      </c>
      <c r="E58" s="113" t="s">
        <v>524</v>
      </c>
      <c r="F58" s="112" t="s">
        <v>174</v>
      </c>
      <c r="G58" s="112" t="s">
        <v>186</v>
      </c>
      <c r="H58" s="112"/>
      <c r="I58" s="112"/>
      <c r="J58" s="124">
        <v>46326.0</v>
      </c>
      <c r="K58" s="112" t="s">
        <v>177</v>
      </c>
      <c r="L58" s="112" t="s">
        <v>6</v>
      </c>
      <c r="M58" s="112" t="s">
        <v>506</v>
      </c>
      <c r="N58" s="112"/>
      <c r="O58" s="112"/>
      <c r="P58" s="112"/>
    </row>
    <row r="59">
      <c r="A59" s="112" t="s">
        <v>199</v>
      </c>
      <c r="B59" s="121" t="s">
        <v>79</v>
      </c>
      <c r="C59" s="112" t="s">
        <v>1</v>
      </c>
      <c r="D59" s="115" t="s">
        <v>526</v>
      </c>
      <c r="E59" s="113" t="s">
        <v>524</v>
      </c>
      <c r="F59" s="112" t="s">
        <v>174</v>
      </c>
      <c r="G59" s="112" t="s">
        <v>186</v>
      </c>
      <c r="H59" s="112"/>
      <c r="I59" s="112"/>
      <c r="J59" s="124">
        <v>46326.0</v>
      </c>
      <c r="K59" s="112" t="s">
        <v>177</v>
      </c>
      <c r="L59" s="112" t="s">
        <v>6</v>
      </c>
      <c r="M59" s="112" t="s">
        <v>506</v>
      </c>
      <c r="N59" s="112"/>
      <c r="O59" s="112"/>
      <c r="P59" s="112"/>
    </row>
    <row r="60">
      <c r="A60" s="112" t="s">
        <v>188</v>
      </c>
      <c r="B60" s="112" t="s">
        <v>24</v>
      </c>
      <c r="C60" s="112" t="s">
        <v>1</v>
      </c>
      <c r="D60" s="115" t="s">
        <v>527</v>
      </c>
      <c r="E60" s="121" t="s">
        <v>520</v>
      </c>
      <c r="F60" s="112" t="s">
        <v>174</v>
      </c>
      <c r="G60" s="112" t="s">
        <v>186</v>
      </c>
      <c r="H60" s="112"/>
      <c r="I60" s="112"/>
      <c r="J60" s="124">
        <v>46326.0</v>
      </c>
      <c r="K60" s="112" t="s">
        <v>177</v>
      </c>
      <c r="L60" s="112" t="s">
        <v>506</v>
      </c>
      <c r="M60" s="112" t="s">
        <v>506</v>
      </c>
      <c r="N60" s="112"/>
      <c r="O60" s="112"/>
      <c r="P60" s="112"/>
    </row>
    <row r="61">
      <c r="A61" s="112" t="s">
        <v>188</v>
      </c>
      <c r="B61" s="112" t="s">
        <v>24</v>
      </c>
      <c r="C61" s="112" t="s">
        <v>1</v>
      </c>
      <c r="D61" s="115" t="s">
        <v>528</v>
      </c>
      <c r="E61" s="121" t="s">
        <v>520</v>
      </c>
      <c r="F61" s="112" t="s">
        <v>174</v>
      </c>
      <c r="G61" s="112" t="s">
        <v>186</v>
      </c>
      <c r="H61" s="112"/>
      <c r="I61" s="112"/>
      <c r="J61" s="124">
        <v>46326.0</v>
      </c>
      <c r="K61" s="112" t="s">
        <v>177</v>
      </c>
      <c r="L61" s="112" t="s">
        <v>506</v>
      </c>
      <c r="M61" s="112" t="s">
        <v>506</v>
      </c>
      <c r="N61" s="112"/>
      <c r="O61" s="112"/>
      <c r="P61" s="112"/>
    </row>
    <row r="62">
      <c r="A62" s="112" t="s">
        <v>188</v>
      </c>
      <c r="B62" s="112" t="s">
        <v>24</v>
      </c>
      <c r="C62" s="112" t="s">
        <v>1</v>
      </c>
      <c r="D62" s="115" t="s">
        <v>529</v>
      </c>
      <c r="E62" s="121" t="s">
        <v>520</v>
      </c>
      <c r="F62" s="112" t="s">
        <v>174</v>
      </c>
      <c r="G62" s="112" t="s">
        <v>186</v>
      </c>
      <c r="H62" s="112"/>
      <c r="I62" s="112"/>
      <c r="J62" s="124">
        <v>46326.0</v>
      </c>
      <c r="K62" s="112" t="s">
        <v>177</v>
      </c>
      <c r="L62" s="112" t="s">
        <v>506</v>
      </c>
      <c r="M62" s="112" t="s">
        <v>506</v>
      </c>
      <c r="N62" s="112"/>
      <c r="O62" s="112"/>
      <c r="P62" s="112"/>
    </row>
    <row r="63">
      <c r="A63" s="112" t="s">
        <v>188</v>
      </c>
      <c r="B63" s="112" t="s">
        <v>24</v>
      </c>
      <c r="C63" s="112" t="s">
        <v>1</v>
      </c>
      <c r="D63" s="115" t="s">
        <v>530</v>
      </c>
      <c r="E63" s="121" t="s">
        <v>520</v>
      </c>
      <c r="F63" s="112" t="s">
        <v>174</v>
      </c>
      <c r="G63" s="112" t="s">
        <v>186</v>
      </c>
      <c r="H63" s="112"/>
      <c r="I63" s="112"/>
      <c r="J63" s="124">
        <v>46326.0</v>
      </c>
      <c r="K63" s="112" t="s">
        <v>177</v>
      </c>
      <c r="L63" s="112" t="s">
        <v>506</v>
      </c>
      <c r="M63" s="112" t="s">
        <v>506</v>
      </c>
      <c r="N63" s="112"/>
      <c r="O63" s="112"/>
      <c r="P63" s="112"/>
    </row>
    <row r="64">
      <c r="A64" s="112" t="s">
        <v>188</v>
      </c>
      <c r="B64" s="112" t="s">
        <v>24</v>
      </c>
      <c r="C64" s="112" t="s">
        <v>1</v>
      </c>
      <c r="D64" s="115" t="s">
        <v>531</v>
      </c>
      <c r="E64" s="121" t="s">
        <v>520</v>
      </c>
      <c r="F64" s="112" t="s">
        <v>174</v>
      </c>
      <c r="G64" s="112" t="s">
        <v>186</v>
      </c>
      <c r="H64" s="112"/>
      <c r="I64" s="112"/>
      <c r="J64" s="124">
        <v>46326.0</v>
      </c>
      <c r="K64" s="112" t="s">
        <v>177</v>
      </c>
      <c r="L64" s="112" t="s">
        <v>506</v>
      </c>
      <c r="M64" s="112" t="s">
        <v>506</v>
      </c>
      <c r="N64" s="112"/>
      <c r="O64" s="112"/>
      <c r="P64" s="112"/>
    </row>
    <row r="65">
      <c r="A65" s="112" t="s">
        <v>188</v>
      </c>
      <c r="B65" s="112" t="s">
        <v>24</v>
      </c>
      <c r="C65" s="112" t="s">
        <v>1</v>
      </c>
      <c r="D65" s="115" t="s">
        <v>532</v>
      </c>
      <c r="E65" s="121" t="s">
        <v>520</v>
      </c>
      <c r="F65" s="112" t="s">
        <v>174</v>
      </c>
      <c r="G65" s="112" t="s">
        <v>186</v>
      </c>
      <c r="H65" s="112"/>
      <c r="I65" s="112"/>
      <c r="J65" s="124">
        <v>46326.0</v>
      </c>
      <c r="K65" s="112" t="s">
        <v>177</v>
      </c>
      <c r="L65" s="112" t="s">
        <v>506</v>
      </c>
      <c r="M65" s="112" t="s">
        <v>506</v>
      </c>
      <c r="N65" s="112"/>
      <c r="O65" s="112"/>
      <c r="P65" s="112"/>
    </row>
    <row r="66">
      <c r="A66" s="125" t="s">
        <v>199</v>
      </c>
      <c r="B66" s="125" t="s">
        <v>47</v>
      </c>
      <c r="C66" s="126" t="s">
        <v>288</v>
      </c>
      <c r="D66" s="127" t="s">
        <v>533</v>
      </c>
      <c r="E66" s="128"/>
      <c r="F66" s="129"/>
      <c r="G66" s="129"/>
      <c r="H66" s="129"/>
      <c r="I66" s="129"/>
      <c r="J66" s="130">
        <v>46302.0</v>
      </c>
      <c r="K66" s="129"/>
      <c r="L66" s="129"/>
      <c r="M66" s="129"/>
      <c r="N66" s="129"/>
      <c r="O66" s="125" t="s">
        <v>534</v>
      </c>
      <c r="P66" s="129"/>
    </row>
    <row r="67">
      <c r="A67" s="125" t="s">
        <v>199</v>
      </c>
      <c r="B67" s="125" t="s">
        <v>47</v>
      </c>
      <c r="C67" s="126" t="s">
        <v>288</v>
      </c>
      <c r="D67" s="127" t="s">
        <v>535</v>
      </c>
      <c r="E67" s="128"/>
      <c r="F67" s="129"/>
      <c r="G67" s="129"/>
      <c r="H67" s="129"/>
      <c r="I67" s="129"/>
      <c r="J67" s="130">
        <v>46302.0</v>
      </c>
      <c r="K67" s="129"/>
      <c r="L67" s="129"/>
      <c r="M67" s="129"/>
      <c r="N67" s="129"/>
      <c r="O67" s="125" t="s">
        <v>534</v>
      </c>
      <c r="P67" s="129"/>
    </row>
    <row r="68">
      <c r="A68" s="125" t="s">
        <v>199</v>
      </c>
      <c r="B68" s="125" t="s">
        <v>47</v>
      </c>
      <c r="C68" s="126" t="s">
        <v>288</v>
      </c>
      <c r="D68" s="127" t="s">
        <v>536</v>
      </c>
      <c r="E68" s="128"/>
      <c r="F68" s="129"/>
      <c r="G68" s="129"/>
      <c r="H68" s="129"/>
      <c r="I68" s="129"/>
      <c r="J68" s="130">
        <v>46302.0</v>
      </c>
      <c r="K68" s="129"/>
      <c r="L68" s="129"/>
      <c r="M68" s="129"/>
      <c r="N68" s="129"/>
      <c r="O68" s="125" t="s">
        <v>534</v>
      </c>
      <c r="P68" s="129"/>
    </row>
    <row r="69">
      <c r="A69" s="125" t="s">
        <v>199</v>
      </c>
      <c r="B69" s="125" t="s">
        <v>47</v>
      </c>
      <c r="C69" s="126" t="s">
        <v>288</v>
      </c>
      <c r="D69" s="127" t="s">
        <v>537</v>
      </c>
      <c r="E69" s="128"/>
      <c r="F69" s="129"/>
      <c r="G69" s="129"/>
      <c r="H69" s="129"/>
      <c r="I69" s="129"/>
      <c r="J69" s="130">
        <v>46326.0</v>
      </c>
      <c r="K69" s="129"/>
      <c r="L69" s="129"/>
      <c r="M69" s="129"/>
      <c r="N69" s="129"/>
      <c r="O69" s="125" t="s">
        <v>538</v>
      </c>
      <c r="P69" s="129"/>
    </row>
    <row r="70">
      <c r="A70" s="125" t="s">
        <v>199</v>
      </c>
      <c r="B70" s="125" t="s">
        <v>47</v>
      </c>
      <c r="C70" s="126" t="s">
        <v>288</v>
      </c>
      <c r="D70" s="127" t="s">
        <v>539</v>
      </c>
      <c r="E70" s="128"/>
      <c r="F70" s="129"/>
      <c r="G70" s="129"/>
      <c r="H70" s="129"/>
      <c r="I70" s="129"/>
      <c r="J70" s="130">
        <v>46326.0</v>
      </c>
      <c r="K70" s="129"/>
      <c r="L70" s="129"/>
      <c r="M70" s="129"/>
      <c r="N70" s="129"/>
      <c r="O70" s="125" t="s">
        <v>538</v>
      </c>
      <c r="P70" s="129"/>
    </row>
    <row r="71">
      <c r="A71" s="125" t="s">
        <v>199</v>
      </c>
      <c r="B71" s="125" t="s">
        <v>47</v>
      </c>
      <c r="C71" s="126" t="s">
        <v>288</v>
      </c>
      <c r="D71" s="127" t="s">
        <v>540</v>
      </c>
      <c r="E71" s="128"/>
      <c r="F71" s="129"/>
      <c r="G71" s="129"/>
      <c r="H71" s="129"/>
      <c r="I71" s="129"/>
      <c r="J71" s="130">
        <v>46326.0</v>
      </c>
      <c r="K71" s="129"/>
      <c r="L71" s="129"/>
      <c r="M71" s="129"/>
      <c r="N71" s="129"/>
      <c r="O71" s="125" t="s">
        <v>538</v>
      </c>
      <c r="P71" s="129"/>
    </row>
    <row r="72">
      <c r="A72" s="125" t="s">
        <v>199</v>
      </c>
      <c r="B72" s="125" t="s">
        <v>47</v>
      </c>
      <c r="C72" s="126" t="s">
        <v>288</v>
      </c>
      <c r="D72" s="127" t="s">
        <v>541</v>
      </c>
      <c r="E72" s="128"/>
      <c r="F72" s="129"/>
      <c r="G72" s="129"/>
      <c r="H72" s="129"/>
      <c r="I72" s="129"/>
      <c r="J72" s="131"/>
      <c r="K72" s="129"/>
      <c r="L72" s="129"/>
      <c r="M72" s="129"/>
      <c r="N72" s="129"/>
      <c r="O72" s="125"/>
      <c r="P72" s="129"/>
    </row>
    <row r="73">
      <c r="A73" s="125" t="s">
        <v>199</v>
      </c>
      <c r="B73" s="125" t="s">
        <v>47</v>
      </c>
      <c r="C73" s="126" t="s">
        <v>288</v>
      </c>
      <c r="D73" s="127" t="s">
        <v>542</v>
      </c>
      <c r="E73" s="128"/>
      <c r="F73" s="129"/>
      <c r="G73" s="129"/>
      <c r="H73" s="129"/>
      <c r="I73" s="129"/>
      <c r="J73" s="131"/>
      <c r="K73" s="129"/>
      <c r="L73" s="129"/>
      <c r="M73" s="129"/>
      <c r="N73" s="129"/>
      <c r="O73" s="125"/>
      <c r="P73" s="129"/>
    </row>
    <row r="74">
      <c r="A74" s="125" t="s">
        <v>199</v>
      </c>
      <c r="B74" s="125" t="s">
        <v>47</v>
      </c>
      <c r="C74" s="126" t="s">
        <v>288</v>
      </c>
      <c r="D74" s="127" t="s">
        <v>543</v>
      </c>
      <c r="E74" s="128"/>
      <c r="F74" s="129"/>
      <c r="G74" s="129"/>
      <c r="H74" s="129"/>
      <c r="I74" s="129"/>
      <c r="J74" s="131"/>
      <c r="K74" s="129"/>
      <c r="L74" s="129"/>
      <c r="M74" s="129"/>
      <c r="N74" s="129"/>
      <c r="O74" s="125"/>
      <c r="P74" s="129"/>
    </row>
    <row r="75">
      <c r="A75" s="125" t="s">
        <v>199</v>
      </c>
      <c r="B75" s="125" t="s">
        <v>47</v>
      </c>
      <c r="C75" s="126" t="s">
        <v>288</v>
      </c>
      <c r="D75" s="127" t="s">
        <v>544</v>
      </c>
      <c r="E75" s="128"/>
      <c r="F75" s="129"/>
      <c r="G75" s="129"/>
      <c r="H75" s="129"/>
      <c r="I75" s="129"/>
      <c r="J75" s="130">
        <v>46338.0</v>
      </c>
      <c r="K75" s="129"/>
      <c r="L75" s="129"/>
      <c r="M75" s="129"/>
      <c r="N75" s="129"/>
      <c r="O75" s="125" t="s">
        <v>545</v>
      </c>
      <c r="P75" s="129"/>
    </row>
    <row r="76">
      <c r="A76" s="125" t="s">
        <v>199</v>
      </c>
      <c r="B76" s="125" t="s">
        <v>47</v>
      </c>
      <c r="C76" s="126" t="s">
        <v>288</v>
      </c>
      <c r="D76" s="127" t="s">
        <v>546</v>
      </c>
      <c r="E76" s="128"/>
      <c r="F76" s="129"/>
      <c r="G76" s="129"/>
      <c r="H76" s="129"/>
      <c r="I76" s="129"/>
      <c r="J76" s="130">
        <v>46338.0</v>
      </c>
      <c r="K76" s="129"/>
      <c r="L76" s="129"/>
      <c r="M76" s="129"/>
      <c r="N76" s="129"/>
      <c r="O76" s="125" t="s">
        <v>545</v>
      </c>
      <c r="P76" s="129"/>
    </row>
    <row r="77">
      <c r="A77" s="125" t="s">
        <v>199</v>
      </c>
      <c r="B77" s="125" t="s">
        <v>47</v>
      </c>
      <c r="C77" s="126" t="s">
        <v>288</v>
      </c>
      <c r="D77" s="127" t="s">
        <v>547</v>
      </c>
      <c r="E77" s="128"/>
      <c r="F77" s="129"/>
      <c r="G77" s="129"/>
      <c r="H77" s="129"/>
      <c r="I77" s="129"/>
      <c r="J77" s="130">
        <v>46338.0</v>
      </c>
      <c r="K77" s="129"/>
      <c r="L77" s="129"/>
      <c r="M77" s="129"/>
      <c r="N77" s="129"/>
      <c r="O77" s="125" t="s">
        <v>545</v>
      </c>
      <c r="P77" s="129"/>
    </row>
    <row r="78">
      <c r="A78" s="125" t="s">
        <v>199</v>
      </c>
      <c r="B78" s="125" t="s">
        <v>47</v>
      </c>
      <c r="C78" s="126" t="s">
        <v>288</v>
      </c>
      <c r="D78" s="127" t="s">
        <v>548</v>
      </c>
      <c r="E78" s="128"/>
      <c r="F78" s="129"/>
      <c r="G78" s="129"/>
      <c r="H78" s="129"/>
      <c r="I78" s="129"/>
      <c r="J78" s="130">
        <v>46371.0</v>
      </c>
      <c r="K78" s="129"/>
      <c r="L78" s="129"/>
      <c r="M78" s="129"/>
      <c r="N78" s="129"/>
      <c r="O78" s="125" t="s">
        <v>538</v>
      </c>
      <c r="P78" s="129"/>
    </row>
    <row r="79">
      <c r="A79" s="125" t="s">
        <v>199</v>
      </c>
      <c r="B79" s="125" t="s">
        <v>47</v>
      </c>
      <c r="C79" s="126" t="s">
        <v>288</v>
      </c>
      <c r="D79" s="127" t="s">
        <v>549</v>
      </c>
      <c r="E79" s="128"/>
      <c r="F79" s="129"/>
      <c r="G79" s="129"/>
      <c r="H79" s="129"/>
      <c r="I79" s="129"/>
      <c r="J79" s="130">
        <v>46371.0</v>
      </c>
      <c r="K79" s="129"/>
      <c r="L79" s="129"/>
      <c r="M79" s="129"/>
      <c r="N79" s="129"/>
      <c r="O79" s="125" t="s">
        <v>538</v>
      </c>
      <c r="P79" s="129"/>
    </row>
    <row r="80">
      <c r="A80" s="125" t="s">
        <v>199</v>
      </c>
      <c r="B80" s="125" t="s">
        <v>47</v>
      </c>
      <c r="C80" s="126" t="s">
        <v>288</v>
      </c>
      <c r="D80" s="127" t="s">
        <v>550</v>
      </c>
      <c r="E80" s="128"/>
      <c r="F80" s="129"/>
      <c r="G80" s="129"/>
      <c r="H80" s="129"/>
      <c r="I80" s="129"/>
      <c r="J80" s="130">
        <v>46371.0</v>
      </c>
      <c r="K80" s="129"/>
      <c r="L80" s="129"/>
      <c r="M80" s="129"/>
      <c r="N80" s="129"/>
      <c r="O80" s="125" t="s">
        <v>538</v>
      </c>
      <c r="P80" s="129"/>
    </row>
    <row r="81">
      <c r="A81" s="125" t="s">
        <v>199</v>
      </c>
      <c r="B81" s="125" t="s">
        <v>47</v>
      </c>
      <c r="C81" s="126" t="s">
        <v>288</v>
      </c>
      <c r="D81" s="127" t="s">
        <v>551</v>
      </c>
      <c r="E81" s="128"/>
      <c r="F81" s="129"/>
      <c r="G81" s="129"/>
      <c r="H81" s="129"/>
      <c r="I81" s="129"/>
      <c r="J81" s="131"/>
      <c r="K81" s="129"/>
      <c r="L81" s="129"/>
      <c r="M81" s="129"/>
      <c r="N81" s="129"/>
      <c r="O81" s="125"/>
      <c r="P81" s="129"/>
    </row>
    <row r="82">
      <c r="A82" s="125" t="s">
        <v>199</v>
      </c>
      <c r="B82" s="125" t="s">
        <v>47</v>
      </c>
      <c r="C82" s="126" t="s">
        <v>288</v>
      </c>
      <c r="D82" s="127" t="s">
        <v>552</v>
      </c>
      <c r="E82" s="128"/>
      <c r="F82" s="129"/>
      <c r="G82" s="129"/>
      <c r="H82" s="129"/>
      <c r="I82" s="129"/>
      <c r="J82" s="131"/>
      <c r="K82" s="129"/>
      <c r="L82" s="129"/>
      <c r="M82" s="129"/>
      <c r="N82" s="129"/>
      <c r="O82" s="125"/>
      <c r="P82" s="129"/>
    </row>
    <row r="83">
      <c r="A83" s="125" t="s">
        <v>199</v>
      </c>
      <c r="B83" s="125" t="s">
        <v>47</v>
      </c>
      <c r="C83" s="126" t="s">
        <v>288</v>
      </c>
      <c r="D83" s="127" t="s">
        <v>553</v>
      </c>
      <c r="E83" s="128"/>
      <c r="F83" s="129"/>
      <c r="G83" s="129"/>
      <c r="H83" s="129"/>
      <c r="I83" s="129"/>
      <c r="J83" s="131"/>
      <c r="K83" s="129"/>
      <c r="L83" s="129"/>
      <c r="M83" s="129"/>
      <c r="N83" s="129"/>
      <c r="O83" s="125"/>
      <c r="P83" s="129"/>
    </row>
    <row r="84">
      <c r="A84" s="125" t="s">
        <v>199</v>
      </c>
      <c r="B84" s="125" t="s">
        <v>47</v>
      </c>
      <c r="C84" s="126" t="s">
        <v>288</v>
      </c>
      <c r="D84" s="127" t="s">
        <v>554</v>
      </c>
      <c r="E84" s="128"/>
      <c r="F84" s="129"/>
      <c r="G84" s="129"/>
      <c r="H84" s="129"/>
      <c r="I84" s="129"/>
      <c r="J84" s="130">
        <v>46418.0</v>
      </c>
      <c r="K84" s="129"/>
      <c r="L84" s="129"/>
      <c r="M84" s="129"/>
      <c r="N84" s="129"/>
      <c r="O84" s="125" t="s">
        <v>555</v>
      </c>
      <c r="P84" s="129"/>
    </row>
    <row r="85">
      <c r="A85" s="125" t="s">
        <v>199</v>
      </c>
      <c r="B85" s="125" t="s">
        <v>47</v>
      </c>
      <c r="C85" s="126" t="s">
        <v>288</v>
      </c>
      <c r="D85" s="127" t="s">
        <v>556</v>
      </c>
      <c r="E85" s="128"/>
      <c r="F85" s="129"/>
      <c r="G85" s="129"/>
      <c r="H85" s="129"/>
      <c r="I85" s="129"/>
      <c r="J85" s="130">
        <v>46418.0</v>
      </c>
      <c r="K85" s="129"/>
      <c r="L85" s="129"/>
      <c r="M85" s="129"/>
      <c r="N85" s="129"/>
      <c r="O85" s="125" t="s">
        <v>555</v>
      </c>
      <c r="P85" s="129"/>
    </row>
    <row r="86">
      <c r="A86" s="125" t="s">
        <v>199</v>
      </c>
      <c r="B86" s="125" t="s">
        <v>47</v>
      </c>
      <c r="C86" s="126" t="s">
        <v>288</v>
      </c>
      <c r="D86" s="127" t="s">
        <v>557</v>
      </c>
      <c r="E86" s="128"/>
      <c r="F86" s="129"/>
      <c r="G86" s="129"/>
      <c r="H86" s="129"/>
      <c r="I86" s="129"/>
      <c r="J86" s="130">
        <v>46418.0</v>
      </c>
      <c r="K86" s="129"/>
      <c r="L86" s="129"/>
      <c r="M86" s="129"/>
      <c r="N86" s="129"/>
      <c r="O86" s="125" t="s">
        <v>555</v>
      </c>
      <c r="P86" s="129"/>
    </row>
    <row r="87">
      <c r="A87" s="125" t="s">
        <v>199</v>
      </c>
      <c r="B87" s="125" t="s">
        <v>47</v>
      </c>
      <c r="C87" s="126" t="s">
        <v>288</v>
      </c>
      <c r="D87" s="127" t="s">
        <v>558</v>
      </c>
      <c r="E87" s="128"/>
      <c r="F87" s="129"/>
      <c r="G87" s="129"/>
      <c r="H87" s="129"/>
      <c r="I87" s="129"/>
      <c r="J87" s="130">
        <v>46446.0</v>
      </c>
      <c r="K87" s="129"/>
      <c r="L87" s="129"/>
      <c r="M87" s="129"/>
      <c r="N87" s="129"/>
      <c r="O87" s="125" t="s">
        <v>538</v>
      </c>
      <c r="P87" s="129"/>
    </row>
    <row r="88">
      <c r="A88" s="125" t="s">
        <v>199</v>
      </c>
      <c r="B88" s="125" t="s">
        <v>47</v>
      </c>
      <c r="C88" s="126" t="s">
        <v>288</v>
      </c>
      <c r="D88" s="127" t="s">
        <v>559</v>
      </c>
      <c r="E88" s="128"/>
      <c r="F88" s="129"/>
      <c r="G88" s="129"/>
      <c r="H88" s="129"/>
      <c r="I88" s="129"/>
      <c r="J88" s="130">
        <v>46446.0</v>
      </c>
      <c r="K88" s="129"/>
      <c r="L88" s="129"/>
      <c r="M88" s="129"/>
      <c r="N88" s="129"/>
      <c r="O88" s="125" t="s">
        <v>538</v>
      </c>
      <c r="P88" s="129"/>
    </row>
    <row r="89">
      <c r="A89" s="125" t="s">
        <v>199</v>
      </c>
      <c r="B89" s="125" t="s">
        <v>47</v>
      </c>
      <c r="C89" s="126" t="s">
        <v>288</v>
      </c>
      <c r="D89" s="127" t="s">
        <v>560</v>
      </c>
      <c r="E89" s="128"/>
      <c r="F89" s="129"/>
      <c r="G89" s="129"/>
      <c r="H89" s="129"/>
      <c r="I89" s="129"/>
      <c r="J89" s="130">
        <v>46446.0</v>
      </c>
      <c r="K89" s="129"/>
      <c r="L89" s="129"/>
      <c r="M89" s="129"/>
      <c r="N89" s="129"/>
      <c r="O89" s="125" t="s">
        <v>538</v>
      </c>
      <c r="P89" s="129"/>
    </row>
    <row r="90">
      <c r="A90" s="125" t="s">
        <v>199</v>
      </c>
      <c r="B90" s="125" t="s">
        <v>47</v>
      </c>
      <c r="C90" s="126" t="s">
        <v>288</v>
      </c>
      <c r="D90" s="127" t="s">
        <v>561</v>
      </c>
      <c r="E90" s="128"/>
      <c r="F90" s="129"/>
      <c r="G90" s="129"/>
      <c r="H90" s="129"/>
      <c r="I90" s="129"/>
      <c r="J90" s="131"/>
      <c r="K90" s="129"/>
      <c r="L90" s="129"/>
      <c r="M90" s="129"/>
      <c r="N90" s="129"/>
      <c r="O90" s="125"/>
      <c r="P90" s="129"/>
    </row>
    <row r="91">
      <c r="A91" s="125" t="s">
        <v>199</v>
      </c>
      <c r="B91" s="125" t="s">
        <v>47</v>
      </c>
      <c r="C91" s="126" t="s">
        <v>288</v>
      </c>
      <c r="D91" s="127" t="s">
        <v>562</v>
      </c>
      <c r="E91" s="128"/>
      <c r="F91" s="129"/>
      <c r="G91" s="129"/>
      <c r="H91" s="129"/>
      <c r="I91" s="129"/>
      <c r="J91" s="131"/>
      <c r="K91" s="129"/>
      <c r="L91" s="129"/>
      <c r="M91" s="129"/>
      <c r="N91" s="129"/>
      <c r="O91" s="125"/>
      <c r="P91" s="129"/>
    </row>
    <row r="92">
      <c r="A92" s="125" t="s">
        <v>199</v>
      </c>
      <c r="B92" s="125" t="s">
        <v>47</v>
      </c>
      <c r="C92" s="126" t="s">
        <v>288</v>
      </c>
      <c r="D92" s="127" t="s">
        <v>563</v>
      </c>
      <c r="E92" s="128"/>
      <c r="F92" s="129"/>
      <c r="G92" s="129"/>
      <c r="H92" s="129"/>
      <c r="I92" s="129"/>
      <c r="J92" s="131"/>
      <c r="K92" s="129"/>
      <c r="L92" s="129"/>
      <c r="M92" s="129"/>
      <c r="N92" s="129"/>
      <c r="O92" s="125"/>
      <c r="P92" s="129"/>
    </row>
    <row r="93">
      <c r="A93" s="89" t="s">
        <v>188</v>
      </c>
      <c r="B93" s="89" t="s">
        <v>47</v>
      </c>
      <c r="C93" s="89" t="s">
        <v>1</v>
      </c>
      <c r="D93" s="132" t="s">
        <v>564</v>
      </c>
      <c r="E93" s="133" t="s">
        <v>565</v>
      </c>
      <c r="F93" s="89" t="s">
        <v>174</v>
      </c>
      <c r="G93" s="89" t="s">
        <v>181</v>
      </c>
      <c r="H93" s="89"/>
      <c r="I93" s="89"/>
      <c r="J93" s="98">
        <v>46326.0</v>
      </c>
      <c r="K93" s="89" t="s">
        <v>182</v>
      </c>
      <c r="L93" s="89" t="s">
        <v>506</v>
      </c>
      <c r="M93" s="89" t="s">
        <v>6</v>
      </c>
      <c r="N93" s="89"/>
      <c r="O93" s="89"/>
      <c r="P93" s="89"/>
    </row>
    <row r="94">
      <c r="A94" s="89" t="s">
        <v>188</v>
      </c>
      <c r="B94" s="89" t="s">
        <v>47</v>
      </c>
      <c r="C94" s="89" t="s">
        <v>1</v>
      </c>
      <c r="D94" s="132" t="s">
        <v>566</v>
      </c>
      <c r="E94" s="89"/>
      <c r="F94" s="89" t="s">
        <v>174</v>
      </c>
      <c r="G94" s="89" t="s">
        <v>181</v>
      </c>
      <c r="H94" s="89"/>
      <c r="I94" s="89"/>
      <c r="J94" s="98">
        <v>46326.0</v>
      </c>
      <c r="K94" s="89" t="s">
        <v>182</v>
      </c>
      <c r="L94" s="89" t="s">
        <v>506</v>
      </c>
      <c r="M94" s="89" t="s">
        <v>6</v>
      </c>
      <c r="N94" s="89"/>
      <c r="O94" s="89"/>
      <c r="P94" s="89"/>
    </row>
    <row r="95">
      <c r="A95" s="89" t="s">
        <v>188</v>
      </c>
      <c r="B95" s="89" t="s">
        <v>47</v>
      </c>
      <c r="C95" s="89" t="s">
        <v>1</v>
      </c>
      <c r="D95" s="132" t="s">
        <v>567</v>
      </c>
      <c r="E95" s="89"/>
      <c r="F95" s="89" t="s">
        <v>174</v>
      </c>
      <c r="G95" s="89" t="s">
        <v>181</v>
      </c>
      <c r="H95" s="89"/>
      <c r="I95" s="89"/>
      <c r="J95" s="98">
        <v>46326.0</v>
      </c>
      <c r="K95" s="89" t="s">
        <v>182</v>
      </c>
      <c r="L95" s="89" t="s">
        <v>506</v>
      </c>
      <c r="M95" s="89" t="s">
        <v>6</v>
      </c>
      <c r="N95" s="89"/>
      <c r="O95" s="89"/>
      <c r="P95" s="89"/>
    </row>
    <row r="96">
      <c r="A96" s="89" t="s">
        <v>188</v>
      </c>
      <c r="B96" s="89" t="s">
        <v>47</v>
      </c>
      <c r="C96" s="89" t="s">
        <v>1</v>
      </c>
      <c r="D96" s="132" t="s">
        <v>568</v>
      </c>
      <c r="E96" s="89"/>
      <c r="F96" s="89" t="s">
        <v>174</v>
      </c>
      <c r="G96" s="89" t="s">
        <v>181</v>
      </c>
      <c r="H96" s="89"/>
      <c r="I96" s="89"/>
      <c r="J96" s="98">
        <v>46326.0</v>
      </c>
      <c r="K96" s="89" t="s">
        <v>182</v>
      </c>
      <c r="L96" s="89" t="s">
        <v>506</v>
      </c>
      <c r="M96" s="89" t="s">
        <v>6</v>
      </c>
      <c r="N96" s="89"/>
      <c r="O96" s="89"/>
      <c r="P96" s="89"/>
    </row>
    <row r="97">
      <c r="A97" s="89" t="s">
        <v>188</v>
      </c>
      <c r="B97" s="89" t="s">
        <v>47</v>
      </c>
      <c r="C97" s="89" t="s">
        <v>1</v>
      </c>
      <c r="D97" s="132" t="s">
        <v>569</v>
      </c>
      <c r="E97" s="89"/>
      <c r="F97" s="89" t="s">
        <v>174</v>
      </c>
      <c r="G97" s="89" t="s">
        <v>181</v>
      </c>
      <c r="H97" s="89"/>
      <c r="I97" s="89"/>
      <c r="J97" s="98">
        <v>46326.0</v>
      </c>
      <c r="K97" s="89" t="s">
        <v>182</v>
      </c>
      <c r="L97" s="89" t="s">
        <v>506</v>
      </c>
      <c r="M97" s="89" t="s">
        <v>6</v>
      </c>
      <c r="N97" s="89"/>
      <c r="O97" s="89"/>
      <c r="P97" s="89"/>
    </row>
    <row r="98">
      <c r="A98" s="89" t="s">
        <v>188</v>
      </c>
      <c r="B98" s="89" t="s">
        <v>47</v>
      </c>
      <c r="C98" s="89" t="s">
        <v>1</v>
      </c>
      <c r="D98" s="132" t="s">
        <v>570</v>
      </c>
      <c r="E98" s="89"/>
      <c r="F98" s="89" t="s">
        <v>174</v>
      </c>
      <c r="G98" s="89" t="s">
        <v>181</v>
      </c>
      <c r="H98" s="89"/>
      <c r="I98" s="89"/>
      <c r="J98" s="98">
        <v>46326.0</v>
      </c>
      <c r="K98" s="89" t="s">
        <v>182</v>
      </c>
      <c r="L98" s="89" t="s">
        <v>506</v>
      </c>
      <c r="M98" s="89" t="s">
        <v>6</v>
      </c>
      <c r="N98" s="89"/>
      <c r="O98" s="89"/>
      <c r="P98" s="89"/>
    </row>
    <row r="99">
      <c r="A99" s="89" t="s">
        <v>188</v>
      </c>
      <c r="B99" s="89" t="s">
        <v>47</v>
      </c>
      <c r="C99" s="89" t="s">
        <v>1</v>
      </c>
      <c r="D99" s="118" t="s">
        <v>571</v>
      </c>
      <c r="E99" s="89"/>
      <c r="F99" s="89" t="s">
        <v>174</v>
      </c>
      <c r="G99" s="89" t="s">
        <v>181</v>
      </c>
      <c r="H99" s="89"/>
      <c r="I99" s="89"/>
      <c r="J99" s="98">
        <v>46456.0</v>
      </c>
      <c r="K99" s="89" t="s">
        <v>182</v>
      </c>
      <c r="L99" s="89" t="s">
        <v>6</v>
      </c>
      <c r="M99" s="89" t="s">
        <v>6</v>
      </c>
      <c r="N99" s="89"/>
      <c r="O99" s="89"/>
      <c r="P99" s="89"/>
    </row>
    <row r="100">
      <c r="A100" s="89" t="s">
        <v>188</v>
      </c>
      <c r="B100" s="89" t="s">
        <v>47</v>
      </c>
      <c r="C100" s="89" t="s">
        <v>1</v>
      </c>
      <c r="D100" s="118" t="s">
        <v>572</v>
      </c>
      <c r="E100" s="89"/>
      <c r="F100" s="89" t="s">
        <v>174</v>
      </c>
      <c r="G100" s="89" t="s">
        <v>181</v>
      </c>
      <c r="H100" s="89"/>
      <c r="I100" s="89"/>
      <c r="J100" s="98">
        <v>46456.0</v>
      </c>
      <c r="K100" s="89" t="s">
        <v>182</v>
      </c>
      <c r="L100" s="89" t="s">
        <v>6</v>
      </c>
      <c r="M100" s="89" t="s">
        <v>6</v>
      </c>
      <c r="N100" s="89"/>
      <c r="O100" s="89"/>
      <c r="P100" s="89"/>
    </row>
    <row r="101">
      <c r="A101" s="89" t="s">
        <v>188</v>
      </c>
      <c r="B101" s="89" t="s">
        <v>47</v>
      </c>
      <c r="C101" s="89" t="s">
        <v>1</v>
      </c>
      <c r="D101" s="118" t="s">
        <v>573</v>
      </c>
      <c r="E101" s="89"/>
      <c r="F101" s="89" t="s">
        <v>174</v>
      </c>
      <c r="G101" s="89" t="s">
        <v>181</v>
      </c>
      <c r="H101" s="89"/>
      <c r="I101" s="89"/>
      <c r="J101" s="98">
        <v>46456.0</v>
      </c>
      <c r="K101" s="89" t="s">
        <v>182</v>
      </c>
      <c r="L101" s="89" t="s">
        <v>6</v>
      </c>
      <c r="M101" s="89" t="s">
        <v>6</v>
      </c>
      <c r="N101" s="89"/>
      <c r="O101" s="89"/>
      <c r="P101" s="89"/>
    </row>
    <row r="102">
      <c r="A102" s="89" t="s">
        <v>199</v>
      </c>
      <c r="B102" s="89" t="s">
        <v>55</v>
      </c>
      <c r="C102" s="89" t="s">
        <v>1</v>
      </c>
      <c r="D102" s="132" t="s">
        <v>574</v>
      </c>
      <c r="E102" s="94"/>
      <c r="F102" s="89" t="s">
        <v>180</v>
      </c>
      <c r="G102" s="89" t="s">
        <v>181</v>
      </c>
      <c r="H102" s="89"/>
      <c r="I102" s="89"/>
      <c r="J102" s="98">
        <v>46419.0</v>
      </c>
      <c r="K102" s="89" t="s">
        <v>182</v>
      </c>
      <c r="L102" s="89" t="s">
        <v>6</v>
      </c>
      <c r="M102" s="89" t="s">
        <v>6</v>
      </c>
      <c r="N102" s="89"/>
      <c r="O102" s="89"/>
      <c r="P102" s="89"/>
    </row>
    <row r="103">
      <c r="A103" s="89" t="s">
        <v>199</v>
      </c>
      <c r="B103" s="89" t="s">
        <v>55</v>
      </c>
      <c r="C103" s="89" t="s">
        <v>1</v>
      </c>
      <c r="D103" s="132" t="s">
        <v>575</v>
      </c>
      <c r="E103" s="94"/>
      <c r="F103" s="89"/>
      <c r="G103" s="89"/>
      <c r="H103" s="89"/>
      <c r="I103" s="89"/>
      <c r="J103" s="98">
        <v>46461.0</v>
      </c>
      <c r="K103" s="89"/>
      <c r="L103" s="89" t="s">
        <v>6</v>
      </c>
      <c r="M103" s="89"/>
      <c r="N103" s="89"/>
      <c r="O103" s="89"/>
      <c r="P103" s="89"/>
    </row>
    <row r="104">
      <c r="A104" s="89" t="s">
        <v>199</v>
      </c>
      <c r="B104" s="89" t="s">
        <v>55</v>
      </c>
      <c r="C104" s="89" t="s">
        <v>1</v>
      </c>
      <c r="D104" s="77" t="s">
        <v>576</v>
      </c>
      <c r="E104" s="134" t="s">
        <v>577</v>
      </c>
      <c r="F104" s="89"/>
      <c r="G104" s="89"/>
      <c r="H104" s="89"/>
      <c r="I104" s="89"/>
      <c r="J104" s="98">
        <v>46477.0</v>
      </c>
      <c r="K104" s="89"/>
      <c r="L104" s="89" t="s">
        <v>6</v>
      </c>
      <c r="M104" s="89"/>
      <c r="N104" s="89"/>
      <c r="O104" s="89"/>
      <c r="P104" s="89"/>
    </row>
    <row r="105">
      <c r="A105" s="89" t="s">
        <v>199</v>
      </c>
      <c r="B105" s="89" t="s">
        <v>55</v>
      </c>
      <c r="C105" s="89" t="s">
        <v>1</v>
      </c>
      <c r="D105" s="77" t="s">
        <v>578</v>
      </c>
      <c r="E105" s="77" t="s">
        <v>577</v>
      </c>
      <c r="F105" s="89"/>
      <c r="G105" s="89"/>
      <c r="H105" s="89"/>
      <c r="I105" s="89"/>
      <c r="J105" s="98">
        <v>46477.0</v>
      </c>
      <c r="K105" s="89"/>
      <c r="L105" s="89" t="s">
        <v>6</v>
      </c>
      <c r="M105" s="89"/>
      <c r="N105" s="89"/>
      <c r="O105" s="89"/>
      <c r="P105" s="89"/>
    </row>
    <row r="106">
      <c r="A106" s="89" t="s">
        <v>199</v>
      </c>
      <c r="B106" s="89" t="s">
        <v>55</v>
      </c>
      <c r="C106" s="89" t="s">
        <v>1</v>
      </c>
      <c r="D106" s="77" t="s">
        <v>579</v>
      </c>
      <c r="E106" s="77" t="s">
        <v>577</v>
      </c>
      <c r="F106" s="89"/>
      <c r="G106" s="89"/>
      <c r="H106" s="89"/>
      <c r="I106" s="89"/>
      <c r="J106" s="98">
        <v>46477.0</v>
      </c>
      <c r="K106" s="89"/>
      <c r="L106" s="89" t="s">
        <v>6</v>
      </c>
      <c r="M106" s="89"/>
      <c r="N106" s="89"/>
      <c r="O106" s="89"/>
      <c r="P106" s="89"/>
    </row>
    <row r="107">
      <c r="A107" s="89" t="s">
        <v>199</v>
      </c>
      <c r="B107" s="89" t="s">
        <v>40</v>
      </c>
      <c r="C107" s="89" t="s">
        <v>1</v>
      </c>
      <c r="D107" s="99" t="s">
        <v>580</v>
      </c>
      <c r="E107" s="89"/>
      <c r="F107" s="89" t="s">
        <v>180</v>
      </c>
      <c r="G107" s="89" t="s">
        <v>186</v>
      </c>
      <c r="H107" s="89"/>
      <c r="I107" s="89"/>
      <c r="J107" s="98">
        <v>46315.0</v>
      </c>
      <c r="K107" s="89" t="s">
        <v>182</v>
      </c>
      <c r="L107" s="89" t="s">
        <v>6</v>
      </c>
      <c r="M107" s="89" t="s">
        <v>1</v>
      </c>
      <c r="N107" s="89"/>
      <c r="O107" s="89"/>
      <c r="P107" s="89"/>
    </row>
    <row r="108">
      <c r="A108" s="89" t="s">
        <v>199</v>
      </c>
      <c r="B108" s="89" t="s">
        <v>40</v>
      </c>
      <c r="C108" s="89" t="s">
        <v>1</v>
      </c>
      <c r="D108" s="77" t="s">
        <v>581</v>
      </c>
      <c r="E108" s="89"/>
      <c r="F108" s="89" t="s">
        <v>180</v>
      </c>
      <c r="G108" s="89" t="s">
        <v>186</v>
      </c>
      <c r="H108" s="89"/>
      <c r="I108" s="89"/>
      <c r="J108" s="98">
        <v>46295.0</v>
      </c>
      <c r="K108" s="89" t="s">
        <v>182</v>
      </c>
      <c r="L108" s="89" t="s">
        <v>582</v>
      </c>
      <c r="M108" s="89" t="s">
        <v>1</v>
      </c>
      <c r="N108" s="89"/>
      <c r="O108" s="89"/>
      <c r="P108" s="89"/>
    </row>
    <row r="109">
      <c r="A109" s="89" t="s">
        <v>199</v>
      </c>
      <c r="B109" s="89" t="s">
        <v>40</v>
      </c>
      <c r="C109" s="89" t="s">
        <v>1</v>
      </c>
      <c r="D109" s="77" t="s">
        <v>583</v>
      </c>
      <c r="E109" s="89"/>
      <c r="F109" s="89" t="s">
        <v>180</v>
      </c>
      <c r="G109" s="89" t="s">
        <v>186</v>
      </c>
      <c r="H109" s="89"/>
      <c r="I109" s="89"/>
      <c r="J109" s="98">
        <v>46295.0</v>
      </c>
      <c r="K109" s="89" t="s">
        <v>182</v>
      </c>
      <c r="L109" s="89" t="s">
        <v>582</v>
      </c>
      <c r="M109" s="89" t="s">
        <v>1</v>
      </c>
      <c r="N109" s="89"/>
      <c r="O109" s="89"/>
      <c r="P109" s="89"/>
    </row>
    <row r="110">
      <c r="A110" s="89" t="s">
        <v>199</v>
      </c>
      <c r="B110" s="89" t="s">
        <v>40</v>
      </c>
      <c r="C110" s="89" t="s">
        <v>1</v>
      </c>
      <c r="D110" s="77" t="s">
        <v>584</v>
      </c>
      <c r="E110" s="89"/>
      <c r="F110" s="89" t="s">
        <v>180</v>
      </c>
      <c r="G110" s="89" t="s">
        <v>186</v>
      </c>
      <c r="H110" s="89"/>
      <c r="I110" s="89"/>
      <c r="J110" s="98">
        <v>46295.0</v>
      </c>
      <c r="K110" s="89" t="s">
        <v>182</v>
      </c>
      <c r="L110" s="89" t="s">
        <v>582</v>
      </c>
      <c r="M110" s="89" t="s">
        <v>1</v>
      </c>
      <c r="N110" s="89"/>
      <c r="O110" s="89"/>
      <c r="P110" s="89"/>
    </row>
    <row r="111">
      <c r="A111" s="89" t="s">
        <v>199</v>
      </c>
      <c r="B111" s="89" t="s">
        <v>40</v>
      </c>
      <c r="C111" s="89" t="s">
        <v>1</v>
      </c>
      <c r="D111" s="118" t="s">
        <v>585</v>
      </c>
      <c r="E111" s="89"/>
      <c r="F111" s="89" t="s">
        <v>180</v>
      </c>
      <c r="G111" s="89" t="s">
        <v>186</v>
      </c>
      <c r="H111" s="89"/>
      <c r="I111" s="89"/>
      <c r="J111" s="98">
        <v>46295.0</v>
      </c>
      <c r="K111" s="89" t="s">
        <v>182</v>
      </c>
      <c r="L111" s="89" t="s">
        <v>582</v>
      </c>
      <c r="M111" s="89" t="s">
        <v>1</v>
      </c>
      <c r="N111" s="89"/>
      <c r="O111" s="89"/>
      <c r="P111" s="89"/>
    </row>
    <row r="112">
      <c r="A112" s="89" t="s">
        <v>199</v>
      </c>
      <c r="B112" s="89" t="s">
        <v>40</v>
      </c>
      <c r="C112" s="89" t="s">
        <v>1</v>
      </c>
      <c r="D112" s="118" t="s">
        <v>586</v>
      </c>
      <c r="E112" s="89"/>
      <c r="F112" s="89" t="s">
        <v>180</v>
      </c>
      <c r="G112" s="89" t="s">
        <v>186</v>
      </c>
      <c r="H112" s="89"/>
      <c r="I112" s="89"/>
      <c r="J112" s="98">
        <v>46295.0</v>
      </c>
      <c r="K112" s="89" t="s">
        <v>182</v>
      </c>
      <c r="L112" s="89" t="s">
        <v>582</v>
      </c>
      <c r="M112" s="89" t="s">
        <v>1</v>
      </c>
      <c r="N112" s="89"/>
      <c r="O112" s="89"/>
      <c r="P112" s="89"/>
    </row>
    <row r="113">
      <c r="A113" s="89" t="s">
        <v>199</v>
      </c>
      <c r="B113" s="89" t="s">
        <v>40</v>
      </c>
      <c r="C113" s="89" t="s">
        <v>1</v>
      </c>
      <c r="D113" s="118" t="s">
        <v>587</v>
      </c>
      <c r="E113" s="89"/>
      <c r="F113" s="89" t="s">
        <v>180</v>
      </c>
      <c r="G113" s="89" t="s">
        <v>186</v>
      </c>
      <c r="H113" s="89"/>
      <c r="I113" s="89"/>
      <c r="J113" s="98">
        <v>46295.0</v>
      </c>
      <c r="K113" s="89" t="s">
        <v>182</v>
      </c>
      <c r="L113" s="89" t="s">
        <v>582</v>
      </c>
      <c r="M113" s="89" t="s">
        <v>1</v>
      </c>
      <c r="N113" s="89"/>
      <c r="O113" s="89"/>
      <c r="P113" s="89"/>
    </row>
    <row r="114">
      <c r="A114" s="89" t="s">
        <v>178</v>
      </c>
      <c r="B114" s="89" t="s">
        <v>61</v>
      </c>
      <c r="C114" s="89" t="s">
        <v>1</v>
      </c>
      <c r="D114" s="77" t="s">
        <v>588</v>
      </c>
      <c r="E114" s="89"/>
      <c r="F114" s="89" t="s">
        <v>180</v>
      </c>
      <c r="G114" s="89" t="s">
        <v>181</v>
      </c>
      <c r="H114" s="89"/>
      <c r="I114" s="89"/>
      <c r="J114" s="98">
        <v>46236.0</v>
      </c>
      <c r="K114" s="89" t="s">
        <v>187</v>
      </c>
      <c r="L114" s="89" t="s">
        <v>1</v>
      </c>
      <c r="M114" s="89" t="s">
        <v>9</v>
      </c>
      <c r="N114" s="89"/>
      <c r="O114" s="89"/>
      <c r="P114" s="89"/>
    </row>
    <row r="115">
      <c r="A115" s="89" t="s">
        <v>178</v>
      </c>
      <c r="B115" s="89" t="s">
        <v>61</v>
      </c>
      <c r="C115" s="89" t="s">
        <v>1</v>
      </c>
      <c r="D115" s="99" t="s">
        <v>589</v>
      </c>
      <c r="E115" s="94"/>
      <c r="F115" s="89" t="s">
        <v>180</v>
      </c>
      <c r="G115" s="89" t="s">
        <v>181</v>
      </c>
      <c r="H115" s="89"/>
      <c r="I115" s="89"/>
      <c r="J115" s="98">
        <v>46243.0</v>
      </c>
      <c r="K115" s="89" t="s">
        <v>187</v>
      </c>
      <c r="L115" s="89" t="s">
        <v>590</v>
      </c>
      <c r="M115" s="89" t="s">
        <v>9</v>
      </c>
      <c r="N115" s="89"/>
      <c r="O115" s="89"/>
      <c r="P115" s="89"/>
    </row>
    <row r="116">
      <c r="A116" s="89" t="s">
        <v>178</v>
      </c>
      <c r="B116" s="89" t="s">
        <v>61</v>
      </c>
      <c r="C116" s="89" t="s">
        <v>1</v>
      </c>
      <c r="D116" s="77" t="s">
        <v>591</v>
      </c>
      <c r="E116" s="89"/>
      <c r="F116" s="89" t="s">
        <v>180</v>
      </c>
      <c r="G116" s="89" t="s">
        <v>181</v>
      </c>
      <c r="H116" s="89"/>
      <c r="I116" s="89"/>
      <c r="J116" s="98">
        <v>46247.0</v>
      </c>
      <c r="K116" s="89" t="s">
        <v>187</v>
      </c>
      <c r="L116" s="89" t="s">
        <v>590</v>
      </c>
      <c r="M116" s="89" t="s">
        <v>9</v>
      </c>
      <c r="N116" s="89"/>
      <c r="O116" s="89"/>
      <c r="P116" s="89"/>
    </row>
    <row r="117">
      <c r="A117" s="89" t="s">
        <v>178</v>
      </c>
      <c r="B117" s="89" t="s">
        <v>61</v>
      </c>
      <c r="C117" s="89" t="s">
        <v>1</v>
      </c>
      <c r="D117" s="132" t="s">
        <v>592</v>
      </c>
      <c r="E117" s="133" t="s">
        <v>593</v>
      </c>
      <c r="F117" s="89" t="s">
        <v>180</v>
      </c>
      <c r="G117" s="89" t="s">
        <v>181</v>
      </c>
      <c r="H117" s="89"/>
      <c r="I117" s="89"/>
      <c r="J117" s="98">
        <v>46244.0</v>
      </c>
      <c r="K117" s="89" t="s">
        <v>187</v>
      </c>
      <c r="L117" s="89" t="s">
        <v>1</v>
      </c>
      <c r="M117" s="89" t="s">
        <v>9</v>
      </c>
      <c r="N117" s="89"/>
      <c r="O117" s="89"/>
      <c r="P117" s="89"/>
    </row>
    <row r="118">
      <c r="A118" s="89" t="s">
        <v>178</v>
      </c>
      <c r="B118" s="89" t="s">
        <v>61</v>
      </c>
      <c r="C118" s="89" t="s">
        <v>1</v>
      </c>
      <c r="D118" s="132" t="s">
        <v>594</v>
      </c>
      <c r="E118" s="94"/>
      <c r="F118" s="89" t="s">
        <v>180</v>
      </c>
      <c r="G118" s="89" t="s">
        <v>181</v>
      </c>
      <c r="H118" s="89"/>
      <c r="I118" s="89"/>
      <c r="J118" s="98">
        <v>46244.0</v>
      </c>
      <c r="K118" s="89" t="s">
        <v>187</v>
      </c>
      <c r="L118" s="89" t="s">
        <v>1</v>
      </c>
      <c r="M118" s="89" t="s">
        <v>9</v>
      </c>
      <c r="N118" s="89"/>
      <c r="O118" s="89"/>
      <c r="P118" s="89"/>
    </row>
    <row r="119">
      <c r="A119" s="89" t="s">
        <v>178</v>
      </c>
      <c r="B119" s="89" t="s">
        <v>61</v>
      </c>
      <c r="C119" s="89" t="s">
        <v>1</v>
      </c>
      <c r="D119" s="77" t="s">
        <v>595</v>
      </c>
      <c r="E119" s="89"/>
      <c r="F119" s="89" t="s">
        <v>180</v>
      </c>
      <c r="G119" s="89" t="s">
        <v>181</v>
      </c>
      <c r="H119" s="89"/>
      <c r="I119" s="89"/>
      <c r="J119" s="98">
        <v>46203.0</v>
      </c>
      <c r="K119" s="89" t="s">
        <v>187</v>
      </c>
      <c r="L119" s="89" t="s">
        <v>467</v>
      </c>
      <c r="M119" s="89" t="s">
        <v>9</v>
      </c>
      <c r="N119" s="89"/>
      <c r="O119" s="89"/>
      <c r="P119" s="89"/>
    </row>
    <row r="120">
      <c r="A120" s="89" t="s">
        <v>178</v>
      </c>
      <c r="B120" s="89" t="s">
        <v>61</v>
      </c>
      <c r="C120" s="89" t="s">
        <v>1</v>
      </c>
      <c r="D120" s="132" t="s">
        <v>596</v>
      </c>
      <c r="E120" s="133" t="s">
        <v>597</v>
      </c>
      <c r="F120" s="89" t="s">
        <v>180</v>
      </c>
      <c r="G120" s="89" t="s">
        <v>181</v>
      </c>
      <c r="H120" s="89" t="s">
        <v>598</v>
      </c>
      <c r="I120" s="89"/>
      <c r="J120" s="98">
        <v>46183.0</v>
      </c>
      <c r="K120" s="89" t="s">
        <v>187</v>
      </c>
      <c r="L120" s="89" t="s">
        <v>6</v>
      </c>
      <c r="M120" s="89" t="s">
        <v>9</v>
      </c>
      <c r="N120" s="89"/>
      <c r="O120" s="89"/>
      <c r="P120" s="89"/>
    </row>
    <row r="121">
      <c r="A121" s="89" t="s">
        <v>178</v>
      </c>
      <c r="B121" s="89" t="s">
        <v>61</v>
      </c>
      <c r="C121" s="89" t="s">
        <v>1</v>
      </c>
      <c r="D121" s="77" t="s">
        <v>599</v>
      </c>
      <c r="E121" s="89"/>
      <c r="F121" s="89" t="s">
        <v>180</v>
      </c>
      <c r="G121" s="89" t="s">
        <v>181</v>
      </c>
      <c r="H121" s="89"/>
      <c r="I121" s="89"/>
      <c r="J121" s="98">
        <v>46260.0</v>
      </c>
      <c r="K121" s="89" t="s">
        <v>187</v>
      </c>
      <c r="L121" s="89" t="s">
        <v>6</v>
      </c>
      <c r="M121" s="89" t="s">
        <v>9</v>
      </c>
      <c r="N121" s="89"/>
      <c r="O121" s="89"/>
      <c r="P121" s="89"/>
    </row>
    <row r="122">
      <c r="A122" s="89" t="s">
        <v>178</v>
      </c>
      <c r="B122" s="89" t="s">
        <v>61</v>
      </c>
      <c r="C122" s="89" t="s">
        <v>1</v>
      </c>
      <c r="D122" s="77" t="s">
        <v>600</v>
      </c>
      <c r="E122" s="89"/>
      <c r="F122" s="89" t="s">
        <v>180</v>
      </c>
      <c r="G122" s="89" t="s">
        <v>181</v>
      </c>
      <c r="H122" s="89"/>
      <c r="I122" s="89"/>
      <c r="J122" s="89" t="s">
        <v>601</v>
      </c>
      <c r="K122" s="89" t="s">
        <v>187</v>
      </c>
      <c r="L122" s="89" t="s">
        <v>6</v>
      </c>
      <c r="M122" s="89" t="s">
        <v>9</v>
      </c>
      <c r="N122" s="89"/>
      <c r="O122" s="89"/>
      <c r="P122" s="89"/>
    </row>
    <row r="123">
      <c r="A123" s="89" t="s">
        <v>178</v>
      </c>
      <c r="B123" s="89" t="s">
        <v>61</v>
      </c>
      <c r="C123" s="89" t="s">
        <v>1</v>
      </c>
      <c r="D123" s="99" t="s">
        <v>602</v>
      </c>
      <c r="E123" s="94"/>
      <c r="F123" s="89" t="s">
        <v>180</v>
      </c>
      <c r="G123" s="89" t="s">
        <v>181</v>
      </c>
      <c r="H123" s="89"/>
      <c r="I123" s="89"/>
      <c r="J123" s="89" t="s">
        <v>603</v>
      </c>
      <c r="K123" s="89" t="s">
        <v>187</v>
      </c>
      <c r="L123" s="89" t="s">
        <v>2</v>
      </c>
      <c r="M123" s="89" t="s">
        <v>9</v>
      </c>
      <c r="N123" s="89"/>
      <c r="O123" s="89"/>
      <c r="P123" s="89"/>
    </row>
    <row r="124">
      <c r="A124" s="89" t="s">
        <v>178</v>
      </c>
      <c r="B124" s="89" t="s">
        <v>61</v>
      </c>
      <c r="C124" s="89" t="s">
        <v>1</v>
      </c>
      <c r="D124" s="99" t="s">
        <v>604</v>
      </c>
      <c r="E124" s="94"/>
      <c r="F124" s="89" t="s">
        <v>180</v>
      </c>
      <c r="G124" s="89" t="s">
        <v>181</v>
      </c>
      <c r="H124" s="89"/>
      <c r="I124" s="89"/>
      <c r="J124" s="96" t="s">
        <v>605</v>
      </c>
      <c r="K124" s="89" t="s">
        <v>187</v>
      </c>
      <c r="L124" s="89" t="s">
        <v>2</v>
      </c>
      <c r="M124" s="89" t="s">
        <v>9</v>
      </c>
      <c r="N124" s="89"/>
      <c r="O124" s="89"/>
      <c r="P124" s="89"/>
    </row>
    <row r="125">
      <c r="A125" s="89" t="s">
        <v>178</v>
      </c>
      <c r="B125" s="89" t="s">
        <v>61</v>
      </c>
      <c r="C125" s="89" t="s">
        <v>1</v>
      </c>
      <c r="D125" s="77" t="s">
        <v>606</v>
      </c>
      <c r="E125" s="133" t="s">
        <v>607</v>
      </c>
      <c r="F125" s="89" t="s">
        <v>180</v>
      </c>
      <c r="G125" s="89" t="s">
        <v>181</v>
      </c>
      <c r="H125" s="89"/>
      <c r="I125" s="89"/>
      <c r="J125" s="89" t="s">
        <v>601</v>
      </c>
      <c r="K125" s="89" t="s">
        <v>187</v>
      </c>
      <c r="L125" s="89" t="s">
        <v>1</v>
      </c>
      <c r="M125" s="89" t="s">
        <v>9</v>
      </c>
      <c r="N125" s="89"/>
      <c r="O125" s="89"/>
      <c r="P125" s="89"/>
    </row>
    <row r="126">
      <c r="A126" s="89" t="s">
        <v>178</v>
      </c>
      <c r="B126" s="89" t="s">
        <v>66</v>
      </c>
      <c r="C126" s="89" t="s">
        <v>1</v>
      </c>
      <c r="D126" s="132" t="s">
        <v>608</v>
      </c>
      <c r="E126" s="134" t="s">
        <v>609</v>
      </c>
      <c r="F126" s="89" t="s">
        <v>180</v>
      </c>
      <c r="G126" s="89" t="s">
        <v>186</v>
      </c>
      <c r="H126" s="89"/>
      <c r="I126" s="89"/>
      <c r="J126" s="98">
        <v>46295.0</v>
      </c>
      <c r="K126" s="89" t="s">
        <v>187</v>
      </c>
      <c r="L126" s="89" t="s">
        <v>506</v>
      </c>
      <c r="M126" s="89" t="s">
        <v>506</v>
      </c>
      <c r="N126" s="89"/>
      <c r="O126" s="89"/>
      <c r="P126" s="89"/>
    </row>
    <row r="127">
      <c r="A127" s="89" t="s">
        <v>178</v>
      </c>
      <c r="B127" s="89" t="s">
        <v>66</v>
      </c>
      <c r="C127" s="89" t="s">
        <v>1</v>
      </c>
      <c r="D127" s="99" t="s">
        <v>610</v>
      </c>
      <c r="E127" s="89"/>
      <c r="F127" s="89" t="s">
        <v>180</v>
      </c>
      <c r="G127" s="89" t="s">
        <v>186</v>
      </c>
      <c r="H127" s="89"/>
      <c r="I127" s="89"/>
      <c r="J127" s="89" t="s">
        <v>611</v>
      </c>
      <c r="K127" s="89" t="s">
        <v>187</v>
      </c>
      <c r="L127" s="89" t="s">
        <v>1</v>
      </c>
      <c r="M127" s="89" t="s">
        <v>506</v>
      </c>
      <c r="N127" s="89"/>
      <c r="O127" s="89"/>
      <c r="P127" s="89"/>
    </row>
    <row r="128">
      <c r="A128" s="89" t="s">
        <v>178</v>
      </c>
      <c r="B128" s="89" t="s">
        <v>66</v>
      </c>
      <c r="C128" s="89" t="s">
        <v>1</v>
      </c>
      <c r="D128" s="77" t="s">
        <v>612</v>
      </c>
      <c r="E128" s="105" t="s">
        <v>613</v>
      </c>
      <c r="F128" s="89" t="s">
        <v>180</v>
      </c>
      <c r="G128" s="89" t="s">
        <v>186</v>
      </c>
      <c r="H128" s="89"/>
      <c r="I128" s="89"/>
      <c r="J128" s="98">
        <v>46265.0</v>
      </c>
      <c r="K128" s="89" t="s">
        <v>187</v>
      </c>
      <c r="L128" s="89" t="s">
        <v>506</v>
      </c>
      <c r="M128" s="89" t="s">
        <v>506</v>
      </c>
      <c r="N128" s="89"/>
      <c r="O128" s="89"/>
      <c r="P128" s="89"/>
    </row>
    <row r="129">
      <c r="A129" s="89" t="s">
        <v>178</v>
      </c>
      <c r="B129" s="89" t="s">
        <v>66</v>
      </c>
      <c r="C129" s="89" t="s">
        <v>1</v>
      </c>
      <c r="D129" s="77" t="s">
        <v>614</v>
      </c>
      <c r="E129" s="94"/>
      <c r="F129" s="89" t="s">
        <v>180</v>
      </c>
      <c r="G129" s="89" t="s">
        <v>186</v>
      </c>
      <c r="H129" s="89"/>
      <c r="I129" s="89"/>
      <c r="J129" s="89" t="s">
        <v>611</v>
      </c>
      <c r="K129" s="89" t="s">
        <v>187</v>
      </c>
      <c r="L129" s="89" t="s">
        <v>6</v>
      </c>
      <c r="M129" s="89" t="s">
        <v>506</v>
      </c>
      <c r="N129" s="89"/>
      <c r="O129" s="89"/>
      <c r="P129" s="89"/>
    </row>
    <row r="130">
      <c r="A130" s="89" t="s">
        <v>178</v>
      </c>
      <c r="B130" s="89" t="s">
        <v>66</v>
      </c>
      <c r="C130" s="89" t="s">
        <v>1</v>
      </c>
      <c r="D130" s="132" t="s">
        <v>615</v>
      </c>
      <c r="E130" s="105" t="s">
        <v>616</v>
      </c>
      <c r="F130" s="89" t="s">
        <v>180</v>
      </c>
      <c r="G130" s="89" t="s">
        <v>186</v>
      </c>
      <c r="H130" s="89"/>
      <c r="I130" s="89"/>
      <c r="J130" s="89" t="s">
        <v>617</v>
      </c>
      <c r="K130" s="89" t="s">
        <v>187</v>
      </c>
      <c r="L130" s="89" t="s">
        <v>6</v>
      </c>
      <c r="M130" s="89" t="s">
        <v>506</v>
      </c>
      <c r="N130" s="89"/>
      <c r="O130" s="89"/>
      <c r="P130" s="89"/>
    </row>
    <row r="131">
      <c r="A131" s="89" t="s">
        <v>178</v>
      </c>
      <c r="B131" s="89" t="s">
        <v>66</v>
      </c>
      <c r="C131" s="89" t="s">
        <v>1</v>
      </c>
      <c r="D131" s="132" t="s">
        <v>618</v>
      </c>
      <c r="E131" s="133" t="s">
        <v>616</v>
      </c>
      <c r="F131" s="89" t="s">
        <v>180</v>
      </c>
      <c r="G131" s="89" t="s">
        <v>186</v>
      </c>
      <c r="H131" s="89"/>
      <c r="I131" s="89"/>
      <c r="J131" s="89" t="s">
        <v>617</v>
      </c>
      <c r="K131" s="89" t="s">
        <v>187</v>
      </c>
      <c r="L131" s="89" t="s">
        <v>6</v>
      </c>
      <c r="M131" s="89" t="s">
        <v>506</v>
      </c>
      <c r="N131" s="89"/>
      <c r="O131" s="89"/>
      <c r="P131" s="89"/>
    </row>
    <row r="132">
      <c r="A132" s="89" t="s">
        <v>178</v>
      </c>
      <c r="B132" s="89" t="s">
        <v>66</v>
      </c>
      <c r="C132" s="89" t="s">
        <v>1</v>
      </c>
      <c r="D132" s="132" t="s">
        <v>619</v>
      </c>
      <c r="E132" s="105" t="s">
        <v>616</v>
      </c>
      <c r="F132" s="89" t="s">
        <v>180</v>
      </c>
      <c r="G132" s="89" t="s">
        <v>186</v>
      </c>
      <c r="H132" s="89"/>
      <c r="I132" s="89"/>
      <c r="J132" s="89" t="s">
        <v>617</v>
      </c>
      <c r="K132" s="89" t="s">
        <v>187</v>
      </c>
      <c r="L132" s="89" t="s">
        <v>1</v>
      </c>
      <c r="M132" s="89" t="s">
        <v>506</v>
      </c>
      <c r="N132" s="89"/>
      <c r="O132" s="89"/>
      <c r="P132" s="89"/>
    </row>
    <row r="133">
      <c r="A133" s="89" t="s">
        <v>178</v>
      </c>
      <c r="B133" s="89" t="s">
        <v>66</v>
      </c>
      <c r="C133" s="89" t="s">
        <v>1</v>
      </c>
      <c r="D133" s="77" t="s">
        <v>620</v>
      </c>
      <c r="E133" s="94"/>
      <c r="F133" s="89" t="s">
        <v>180</v>
      </c>
      <c r="G133" s="89" t="s">
        <v>186</v>
      </c>
      <c r="H133" s="89"/>
      <c r="I133" s="89"/>
      <c r="J133" s="89" t="s">
        <v>617</v>
      </c>
      <c r="K133" s="89" t="s">
        <v>187</v>
      </c>
      <c r="L133" s="89" t="s">
        <v>6</v>
      </c>
      <c r="M133" s="89" t="s">
        <v>506</v>
      </c>
      <c r="N133" s="89"/>
      <c r="O133" s="89"/>
      <c r="P133" s="89"/>
    </row>
    <row r="134">
      <c r="A134" s="89" t="s">
        <v>178</v>
      </c>
      <c r="B134" s="89" t="s">
        <v>66</v>
      </c>
      <c r="C134" s="89" t="s">
        <v>1</v>
      </c>
      <c r="D134" s="77" t="s">
        <v>621</v>
      </c>
      <c r="E134" s="134" t="s">
        <v>622</v>
      </c>
      <c r="F134" s="89" t="s">
        <v>180</v>
      </c>
      <c r="G134" s="89" t="s">
        <v>186</v>
      </c>
      <c r="H134" s="89"/>
      <c r="I134" s="89"/>
      <c r="J134" s="89" t="s">
        <v>623</v>
      </c>
      <c r="K134" s="89" t="s">
        <v>187</v>
      </c>
      <c r="L134" s="89" t="s">
        <v>463</v>
      </c>
      <c r="M134" s="89" t="s">
        <v>506</v>
      </c>
      <c r="N134" s="89"/>
      <c r="O134" s="89"/>
      <c r="P134" s="89"/>
    </row>
    <row r="135">
      <c r="A135" s="89" t="s">
        <v>188</v>
      </c>
      <c r="B135" s="89" t="s">
        <v>71</v>
      </c>
      <c r="C135" s="89" t="s">
        <v>1</v>
      </c>
      <c r="D135" s="132" t="s">
        <v>624</v>
      </c>
      <c r="E135" s="105" t="s">
        <v>616</v>
      </c>
      <c r="F135" s="89" t="s">
        <v>180</v>
      </c>
      <c r="G135" s="89" t="s">
        <v>181</v>
      </c>
      <c r="H135" s="89"/>
      <c r="I135" s="89"/>
      <c r="J135" s="135" t="s">
        <v>625</v>
      </c>
      <c r="K135" s="89" t="s">
        <v>192</v>
      </c>
      <c r="L135" s="89" t="s">
        <v>6</v>
      </c>
      <c r="M135" s="89" t="s">
        <v>6</v>
      </c>
      <c r="N135" s="89"/>
      <c r="O135" s="89"/>
      <c r="P135" s="89"/>
    </row>
    <row r="136">
      <c r="A136" s="89" t="s">
        <v>188</v>
      </c>
      <c r="B136" s="89" t="s">
        <v>71</v>
      </c>
      <c r="C136" s="89" t="s">
        <v>1</v>
      </c>
      <c r="D136" s="132" t="s">
        <v>626</v>
      </c>
      <c r="E136" s="133" t="s">
        <v>616</v>
      </c>
      <c r="F136" s="89" t="s">
        <v>180</v>
      </c>
      <c r="G136" s="89" t="s">
        <v>181</v>
      </c>
      <c r="H136" s="89"/>
      <c r="I136" s="89"/>
      <c r="J136" s="135" t="s">
        <v>625</v>
      </c>
      <c r="K136" s="89" t="s">
        <v>192</v>
      </c>
      <c r="L136" s="89" t="s">
        <v>1</v>
      </c>
      <c r="M136" s="89" t="s">
        <v>6</v>
      </c>
      <c r="N136" s="89"/>
      <c r="O136" s="89"/>
      <c r="P136" s="89"/>
    </row>
    <row r="137">
      <c r="A137" s="89" t="s">
        <v>188</v>
      </c>
      <c r="B137" s="89" t="s">
        <v>71</v>
      </c>
      <c r="C137" s="89" t="s">
        <v>1</v>
      </c>
      <c r="D137" s="132" t="s">
        <v>627</v>
      </c>
      <c r="E137" s="133" t="s">
        <v>628</v>
      </c>
      <c r="F137" s="89" t="s">
        <v>180</v>
      </c>
      <c r="G137" s="89" t="s">
        <v>181</v>
      </c>
      <c r="H137" s="89"/>
      <c r="I137" s="89"/>
      <c r="J137" s="135" t="s">
        <v>629</v>
      </c>
      <c r="K137" s="89" t="s">
        <v>192</v>
      </c>
      <c r="L137" s="89" t="s">
        <v>506</v>
      </c>
      <c r="M137" s="89" t="s">
        <v>6</v>
      </c>
      <c r="N137" s="89"/>
      <c r="O137" s="89"/>
      <c r="P137" s="89"/>
    </row>
    <row r="138">
      <c r="A138" s="89" t="s">
        <v>188</v>
      </c>
      <c r="B138" s="89" t="s">
        <v>71</v>
      </c>
      <c r="C138" s="89" t="s">
        <v>1</v>
      </c>
      <c r="D138" s="77" t="s">
        <v>630</v>
      </c>
      <c r="E138" s="94"/>
      <c r="F138" s="89" t="s">
        <v>180</v>
      </c>
      <c r="G138" s="89" t="s">
        <v>181</v>
      </c>
      <c r="H138" s="89"/>
      <c r="I138" s="89"/>
      <c r="J138" s="135" t="s">
        <v>625</v>
      </c>
      <c r="K138" s="89" t="s">
        <v>192</v>
      </c>
      <c r="L138" s="89" t="s">
        <v>6</v>
      </c>
      <c r="M138" s="89" t="s">
        <v>6</v>
      </c>
      <c r="N138" s="89"/>
      <c r="O138" s="89"/>
      <c r="P138" s="89"/>
    </row>
    <row r="139">
      <c r="A139" s="89" t="s">
        <v>188</v>
      </c>
      <c r="B139" s="89" t="s">
        <v>71</v>
      </c>
      <c r="C139" s="89" t="s">
        <v>1</v>
      </c>
      <c r="D139" s="99" t="s">
        <v>631</v>
      </c>
      <c r="E139" s="94"/>
      <c r="F139" s="89" t="s">
        <v>180</v>
      </c>
      <c r="G139" s="89" t="s">
        <v>181</v>
      </c>
      <c r="H139" s="89"/>
      <c r="I139" s="89"/>
      <c r="J139" s="135" t="s">
        <v>625</v>
      </c>
      <c r="K139" s="89" t="s">
        <v>192</v>
      </c>
      <c r="L139" s="89" t="s">
        <v>1</v>
      </c>
      <c r="M139" s="89" t="s">
        <v>6</v>
      </c>
      <c r="N139" s="89"/>
      <c r="O139" s="89"/>
      <c r="P139" s="89"/>
    </row>
    <row r="140">
      <c r="A140" s="89" t="s">
        <v>188</v>
      </c>
      <c r="B140" s="89" t="s">
        <v>71</v>
      </c>
      <c r="C140" s="89" t="s">
        <v>1</v>
      </c>
      <c r="D140" s="132" t="s">
        <v>632</v>
      </c>
      <c r="E140" s="105" t="s">
        <v>633</v>
      </c>
      <c r="F140" s="89" t="s">
        <v>180</v>
      </c>
      <c r="G140" s="89" t="s">
        <v>181</v>
      </c>
      <c r="H140" s="89"/>
      <c r="I140" s="89"/>
      <c r="J140" s="89"/>
      <c r="K140" s="89" t="s">
        <v>192</v>
      </c>
      <c r="L140" s="89" t="s">
        <v>6</v>
      </c>
      <c r="M140" s="89" t="s">
        <v>6</v>
      </c>
      <c r="N140" s="89"/>
      <c r="O140" s="89"/>
      <c r="P140" s="89"/>
    </row>
  </sheetData>
  <dataValidations>
    <dataValidation type="list" allowBlank="1" showErrorMessage="1" sqref="G2:G140">
      <formula1>priority</formula1>
    </dataValidation>
    <dataValidation type="list" allowBlank="1" showErrorMessage="1" sqref="H2:H140">
      <formula1>people</formula1>
    </dataValidation>
    <dataValidation type="list" allowBlank="1" showErrorMessage="1" sqref="F2:F140">
      <formula1>status</formula1>
    </dataValidation>
    <dataValidation type="list" allowBlank="1" showErrorMessage="1" sqref="B2:B140">
      <formula1>dept_objs_fy</formula1>
    </dataValidation>
    <dataValidation type="list" allowBlank="1" showErrorMessage="1" sqref="C2:C140">
      <formula1>focus_areas</formula1>
    </dataValidation>
    <dataValidation type="list" allowBlank="1" showErrorMessage="1" sqref="A1:A140">
      <formula1>"Academic Status,Impact Measurement,Sustainable Growth,TALMA Strategic Objective"</formula1>
    </dataValidation>
    <dataValidation type="list" allowBlank="1" showErrorMessage="1" sqref="K2:K140">
      <formula1>quarters</formula1>
    </dataValidation>
    <dataValidation type="list" allowBlank="1" showErrorMessage="1" sqref="L2:L140">
      <formula1>"HR,Pedagogy,Recruitment Staff,Municipality,School Staff,Full Year,R&amp;D,Marketing,Finance,T'helah,Regional directors,Alon Udelsman,Teacher Leaders"</formula1>
    </dataValidation>
    <dataValidation type="custom" allowBlank="1" showDropDown="1" sqref="I2:J140">
      <formula1>OR(NOT(ISERROR(DATEVALUE(I2))), AND(ISNUMBER(I2), LEFT(CELL("format", I2))="D"))</formula1>
    </dataValidation>
    <dataValidation type="list" allowBlank="1" showErrorMessage="1" sqref="M2:M140">
      <formula1>"HR,Tech,School Staff,Pedagogy,Full Year"</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4" width="15.5"/>
  </cols>
  <sheetData>
    <row r="1">
      <c r="A1" s="136" t="s">
        <v>215</v>
      </c>
      <c r="B1" s="137" t="s">
        <v>216</v>
      </c>
      <c r="C1" s="138" t="s">
        <v>217</v>
      </c>
      <c r="D1" s="138" t="s">
        <v>218</v>
      </c>
      <c r="E1" s="138" t="s">
        <v>219</v>
      </c>
      <c r="F1" s="137" t="s">
        <v>220</v>
      </c>
      <c r="G1" s="137" t="s">
        <v>221</v>
      </c>
      <c r="H1" s="137" t="s">
        <v>222</v>
      </c>
      <c r="I1" s="136" t="s">
        <v>223</v>
      </c>
      <c r="J1" s="136" t="s">
        <v>224</v>
      </c>
      <c r="K1" s="137" t="s">
        <v>225</v>
      </c>
      <c r="L1" s="137" t="s">
        <v>226</v>
      </c>
      <c r="M1" s="137" t="s">
        <v>227</v>
      </c>
      <c r="N1" s="137" t="s">
        <v>228</v>
      </c>
      <c r="O1" s="137" t="s">
        <v>229</v>
      </c>
      <c r="P1" s="137"/>
      <c r="Q1" s="137"/>
      <c r="R1" s="137"/>
      <c r="S1" s="137"/>
      <c r="T1" s="137"/>
      <c r="U1" s="137"/>
      <c r="V1" s="137"/>
      <c r="W1" s="137"/>
      <c r="X1" s="137"/>
    </row>
    <row r="2">
      <c r="A2" s="50" t="s">
        <v>199</v>
      </c>
      <c r="B2" s="29" t="s">
        <v>10</v>
      </c>
      <c r="C2" s="29" t="s">
        <v>133</v>
      </c>
      <c r="D2" s="29" t="s">
        <v>634</v>
      </c>
      <c r="E2" s="50"/>
      <c r="F2" s="32" t="s">
        <v>174</v>
      </c>
      <c r="G2" s="32" t="s">
        <v>181</v>
      </c>
      <c r="H2" s="32" t="s">
        <v>205</v>
      </c>
      <c r="I2" s="32"/>
      <c r="J2" s="39">
        <v>46081.0</v>
      </c>
      <c r="K2" s="32" t="s">
        <v>177</v>
      </c>
      <c r="L2" s="32"/>
      <c r="M2" s="32"/>
      <c r="N2" s="34"/>
      <c r="O2" s="37"/>
      <c r="P2" s="32"/>
      <c r="Q2" s="32"/>
      <c r="R2" s="32"/>
      <c r="S2" s="32"/>
      <c r="T2" s="32"/>
      <c r="U2" s="32"/>
      <c r="V2" s="32"/>
      <c r="W2" s="32"/>
      <c r="X2" s="32"/>
    </row>
    <row r="3">
      <c r="A3" s="50" t="s">
        <v>199</v>
      </c>
      <c r="B3" s="29" t="s">
        <v>10</v>
      </c>
      <c r="C3" s="29" t="s">
        <v>133</v>
      </c>
      <c r="D3" s="29" t="s">
        <v>635</v>
      </c>
      <c r="E3" s="50"/>
      <c r="F3" s="32"/>
      <c r="G3" s="32"/>
      <c r="H3" s="32" t="s">
        <v>205</v>
      </c>
      <c r="I3" s="32"/>
      <c r="J3" s="39"/>
      <c r="K3" s="32"/>
      <c r="L3" s="32"/>
      <c r="M3" s="32"/>
      <c r="N3" s="34"/>
      <c r="O3" s="37"/>
      <c r="P3" s="32"/>
      <c r="Q3" s="32"/>
      <c r="R3" s="32"/>
      <c r="S3" s="32"/>
      <c r="T3" s="32"/>
      <c r="U3" s="32"/>
      <c r="V3" s="32"/>
      <c r="W3" s="32"/>
      <c r="X3" s="32"/>
    </row>
    <row r="4">
      <c r="A4" s="50" t="s">
        <v>199</v>
      </c>
      <c r="B4" s="29" t="s">
        <v>10</v>
      </c>
      <c r="C4" s="29" t="s">
        <v>133</v>
      </c>
      <c r="D4" s="29" t="s">
        <v>636</v>
      </c>
      <c r="E4" s="29" t="s">
        <v>637</v>
      </c>
      <c r="F4" s="32"/>
      <c r="G4" s="32"/>
      <c r="H4" s="32" t="s">
        <v>205</v>
      </c>
      <c r="I4" s="32"/>
      <c r="J4" s="39"/>
      <c r="K4" s="32"/>
      <c r="L4" s="32"/>
      <c r="M4" s="32"/>
      <c r="N4" s="34"/>
      <c r="O4" s="37"/>
      <c r="P4" s="32"/>
      <c r="Q4" s="32"/>
      <c r="R4" s="32"/>
      <c r="S4" s="32"/>
      <c r="T4" s="32"/>
      <c r="U4" s="32"/>
      <c r="V4" s="32"/>
      <c r="W4" s="32"/>
      <c r="X4" s="32"/>
    </row>
    <row r="5">
      <c r="A5" s="50" t="s">
        <v>199</v>
      </c>
      <c r="B5" s="29" t="s">
        <v>10</v>
      </c>
      <c r="C5" s="29" t="s">
        <v>133</v>
      </c>
      <c r="D5" s="29" t="s">
        <v>638</v>
      </c>
      <c r="E5" s="50"/>
      <c r="F5" s="32" t="s">
        <v>174</v>
      </c>
      <c r="G5" s="32" t="s">
        <v>181</v>
      </c>
      <c r="H5" s="32" t="s">
        <v>205</v>
      </c>
      <c r="I5" s="32"/>
      <c r="J5" s="39">
        <v>46086.0</v>
      </c>
      <c r="K5" s="32" t="s">
        <v>177</v>
      </c>
      <c r="L5" s="32"/>
      <c r="M5" s="32"/>
      <c r="N5" s="34"/>
      <c r="O5" s="37"/>
      <c r="P5" s="32"/>
      <c r="Q5" s="32"/>
      <c r="R5" s="32"/>
      <c r="S5" s="32"/>
      <c r="T5" s="32"/>
      <c r="U5" s="32"/>
      <c r="V5" s="32"/>
      <c r="W5" s="32"/>
      <c r="X5" s="32"/>
    </row>
    <row r="6">
      <c r="A6" s="50" t="s">
        <v>199</v>
      </c>
      <c r="B6" s="32" t="s">
        <v>16</v>
      </c>
      <c r="C6" s="29" t="s">
        <v>138</v>
      </c>
      <c r="D6" s="139" t="s">
        <v>639</v>
      </c>
      <c r="E6" s="50"/>
      <c r="F6" s="32" t="s">
        <v>174</v>
      </c>
      <c r="G6" s="32" t="s">
        <v>186</v>
      </c>
      <c r="H6" s="32" t="s">
        <v>205</v>
      </c>
      <c r="I6" s="32"/>
      <c r="J6" s="39">
        <v>46127.0</v>
      </c>
      <c r="K6" s="32" t="s">
        <v>182</v>
      </c>
      <c r="L6" s="32" t="s">
        <v>1</v>
      </c>
      <c r="M6" s="32"/>
      <c r="N6" s="34"/>
      <c r="O6" s="37"/>
      <c r="P6" s="32"/>
      <c r="Q6" s="32"/>
      <c r="R6" s="32"/>
      <c r="S6" s="32"/>
      <c r="T6" s="32"/>
      <c r="U6" s="32"/>
      <c r="V6" s="32"/>
      <c r="W6" s="32"/>
      <c r="X6" s="32"/>
    </row>
    <row r="7">
      <c r="A7" s="50" t="s">
        <v>199</v>
      </c>
      <c r="B7" s="32" t="s">
        <v>16</v>
      </c>
      <c r="C7" s="29" t="s">
        <v>138</v>
      </c>
      <c r="D7" s="139" t="s">
        <v>640</v>
      </c>
      <c r="E7" s="50"/>
      <c r="F7" s="32" t="s">
        <v>174</v>
      </c>
      <c r="G7" s="32" t="s">
        <v>186</v>
      </c>
      <c r="H7" s="32" t="s">
        <v>205</v>
      </c>
      <c r="I7" s="32"/>
      <c r="J7" s="39">
        <v>46142.0</v>
      </c>
      <c r="K7" s="32" t="s">
        <v>182</v>
      </c>
      <c r="L7" s="32"/>
      <c r="M7" s="32"/>
      <c r="N7" s="34"/>
      <c r="O7" s="37"/>
      <c r="P7" s="32"/>
      <c r="Q7" s="32"/>
      <c r="R7" s="32"/>
      <c r="S7" s="32"/>
      <c r="T7" s="32"/>
      <c r="U7" s="32"/>
      <c r="V7" s="32"/>
      <c r="W7" s="32"/>
      <c r="X7" s="32"/>
    </row>
    <row r="8">
      <c r="A8" s="50" t="s">
        <v>199</v>
      </c>
      <c r="B8" s="32" t="s">
        <v>16</v>
      </c>
      <c r="C8" s="29" t="s">
        <v>138</v>
      </c>
      <c r="D8" s="139" t="s">
        <v>641</v>
      </c>
      <c r="E8" s="50"/>
      <c r="F8" s="32" t="s">
        <v>174</v>
      </c>
      <c r="G8" s="32" t="s">
        <v>186</v>
      </c>
      <c r="H8" s="32" t="s">
        <v>205</v>
      </c>
      <c r="I8" s="32"/>
      <c r="J8" s="39">
        <v>46157.0</v>
      </c>
      <c r="K8" s="32" t="s">
        <v>182</v>
      </c>
      <c r="L8" s="32"/>
      <c r="M8" s="32"/>
      <c r="N8" s="34"/>
      <c r="O8" s="37"/>
      <c r="P8" s="32"/>
      <c r="Q8" s="32"/>
      <c r="R8" s="32"/>
      <c r="S8" s="32"/>
      <c r="T8" s="32"/>
      <c r="U8" s="32"/>
      <c r="V8" s="32"/>
      <c r="W8" s="32"/>
      <c r="X8" s="32"/>
    </row>
    <row r="9">
      <c r="A9" s="32" t="s">
        <v>199</v>
      </c>
      <c r="B9" s="32" t="s">
        <v>16</v>
      </c>
      <c r="C9" s="29" t="s">
        <v>138</v>
      </c>
      <c r="D9" s="139" t="s">
        <v>642</v>
      </c>
      <c r="E9" s="50"/>
      <c r="F9" s="32" t="s">
        <v>174</v>
      </c>
      <c r="G9" s="32" t="s">
        <v>186</v>
      </c>
      <c r="H9" s="32" t="s">
        <v>205</v>
      </c>
      <c r="I9" s="32"/>
      <c r="J9" s="39">
        <v>46188.0</v>
      </c>
      <c r="K9" s="32" t="s">
        <v>182</v>
      </c>
      <c r="L9" s="32"/>
      <c r="M9" s="32"/>
      <c r="N9" s="34"/>
      <c r="O9" s="37"/>
      <c r="P9" s="32"/>
      <c r="Q9" s="32"/>
      <c r="R9" s="32"/>
      <c r="S9" s="32"/>
      <c r="T9" s="32"/>
      <c r="U9" s="32"/>
      <c r="V9" s="32"/>
      <c r="W9" s="32"/>
      <c r="X9" s="32"/>
    </row>
    <row r="10">
      <c r="A10" s="50" t="s">
        <v>199</v>
      </c>
      <c r="B10" s="32" t="s">
        <v>16</v>
      </c>
      <c r="C10" s="29" t="s">
        <v>138</v>
      </c>
      <c r="D10" s="139" t="s">
        <v>643</v>
      </c>
      <c r="E10" s="50"/>
      <c r="F10" s="32" t="s">
        <v>174</v>
      </c>
      <c r="G10" s="32" t="s">
        <v>186</v>
      </c>
      <c r="H10" s="32" t="s">
        <v>205</v>
      </c>
      <c r="I10" s="32"/>
      <c r="J10" s="39">
        <v>46188.0</v>
      </c>
      <c r="K10" s="32" t="s">
        <v>182</v>
      </c>
      <c r="L10" s="32"/>
      <c r="M10" s="32"/>
      <c r="N10" s="34"/>
      <c r="O10" s="37"/>
      <c r="P10" s="32"/>
      <c r="Q10" s="32"/>
      <c r="R10" s="32"/>
      <c r="S10" s="32"/>
      <c r="T10" s="32"/>
      <c r="U10" s="32"/>
      <c r="V10" s="32"/>
      <c r="W10" s="32"/>
      <c r="X10" s="32"/>
    </row>
    <row r="11">
      <c r="A11" s="32" t="s">
        <v>199</v>
      </c>
      <c r="B11" s="32" t="s">
        <v>16</v>
      </c>
      <c r="C11" s="29" t="s">
        <v>138</v>
      </c>
      <c r="D11" s="139" t="s">
        <v>644</v>
      </c>
      <c r="E11" s="50"/>
      <c r="F11" s="32" t="s">
        <v>174</v>
      </c>
      <c r="G11" s="32" t="s">
        <v>186</v>
      </c>
      <c r="H11" s="32" t="s">
        <v>205</v>
      </c>
      <c r="I11" s="32"/>
      <c r="J11" s="39">
        <v>46387.0</v>
      </c>
      <c r="K11" s="32" t="s">
        <v>182</v>
      </c>
      <c r="L11" s="32"/>
      <c r="M11" s="32"/>
      <c r="N11" s="34"/>
      <c r="O11" s="37"/>
      <c r="P11" s="32"/>
      <c r="Q11" s="32"/>
      <c r="R11" s="32"/>
      <c r="S11" s="32"/>
      <c r="T11" s="32"/>
      <c r="U11" s="32"/>
      <c r="V11" s="32"/>
      <c r="W11" s="32"/>
      <c r="X11" s="32"/>
    </row>
    <row r="12">
      <c r="A12" s="32" t="s">
        <v>199</v>
      </c>
      <c r="B12" s="32" t="s">
        <v>23</v>
      </c>
      <c r="C12" s="29" t="s">
        <v>141</v>
      </c>
      <c r="D12" s="139" t="s">
        <v>645</v>
      </c>
      <c r="E12" s="50"/>
      <c r="F12" s="32" t="s">
        <v>174</v>
      </c>
      <c r="G12" s="32" t="s">
        <v>186</v>
      </c>
      <c r="H12" s="32" t="s">
        <v>205</v>
      </c>
      <c r="I12" s="32"/>
      <c r="J12" s="39">
        <v>46296.0</v>
      </c>
      <c r="K12" s="32" t="s">
        <v>192</v>
      </c>
      <c r="L12" s="32"/>
      <c r="M12" s="32"/>
      <c r="N12" s="34"/>
      <c r="O12" s="37"/>
      <c r="P12" s="32"/>
      <c r="Q12" s="32"/>
      <c r="R12" s="32"/>
      <c r="S12" s="32"/>
      <c r="T12" s="32"/>
      <c r="U12" s="32"/>
      <c r="V12" s="32"/>
      <c r="W12" s="32"/>
      <c r="X12" s="32"/>
    </row>
    <row r="13">
      <c r="A13" s="32" t="s">
        <v>199</v>
      </c>
      <c r="B13" s="32" t="s">
        <v>23</v>
      </c>
      <c r="C13" s="29" t="s">
        <v>141</v>
      </c>
      <c r="D13" s="139" t="s">
        <v>646</v>
      </c>
      <c r="E13" s="50"/>
      <c r="F13" s="32" t="s">
        <v>174</v>
      </c>
      <c r="G13" s="32" t="s">
        <v>186</v>
      </c>
      <c r="H13" s="32" t="s">
        <v>205</v>
      </c>
      <c r="I13" s="32"/>
      <c r="J13" s="39">
        <v>46310.0</v>
      </c>
      <c r="K13" s="32" t="s">
        <v>192</v>
      </c>
      <c r="L13" s="32"/>
      <c r="M13" s="32"/>
      <c r="N13" s="34"/>
      <c r="O13" s="37"/>
      <c r="P13" s="32"/>
      <c r="Q13" s="32"/>
      <c r="R13" s="32"/>
      <c r="S13" s="32"/>
      <c r="T13" s="32"/>
      <c r="U13" s="32"/>
      <c r="V13" s="32"/>
      <c r="W13" s="32"/>
      <c r="X13" s="32"/>
    </row>
    <row r="14">
      <c r="A14" s="32" t="s">
        <v>199</v>
      </c>
      <c r="B14" s="32" t="s">
        <v>23</v>
      </c>
      <c r="C14" s="29" t="s">
        <v>141</v>
      </c>
      <c r="D14" s="139" t="s">
        <v>640</v>
      </c>
      <c r="E14" s="50"/>
      <c r="F14" s="32" t="s">
        <v>174</v>
      </c>
      <c r="G14" s="32" t="s">
        <v>186</v>
      </c>
      <c r="H14" s="32" t="s">
        <v>205</v>
      </c>
      <c r="I14" s="32"/>
      <c r="J14" s="39">
        <v>46326.0</v>
      </c>
      <c r="K14" s="32" t="s">
        <v>192</v>
      </c>
      <c r="L14" s="32"/>
      <c r="M14" s="32"/>
      <c r="N14" s="34"/>
      <c r="O14" s="37"/>
      <c r="P14" s="32"/>
      <c r="Q14" s="32"/>
      <c r="R14" s="32"/>
      <c r="S14" s="32"/>
      <c r="T14" s="32"/>
      <c r="U14" s="32"/>
      <c r="V14" s="32"/>
      <c r="W14" s="32"/>
      <c r="X14" s="32"/>
    </row>
    <row r="15">
      <c r="A15" s="50" t="s">
        <v>199</v>
      </c>
      <c r="B15" s="32" t="s">
        <v>23</v>
      </c>
      <c r="C15" s="29" t="s">
        <v>141</v>
      </c>
      <c r="D15" s="139" t="s">
        <v>641</v>
      </c>
      <c r="E15" s="50"/>
      <c r="F15" s="32" t="s">
        <v>174</v>
      </c>
      <c r="G15" s="32" t="s">
        <v>186</v>
      </c>
      <c r="H15" s="32" t="s">
        <v>205</v>
      </c>
      <c r="I15" s="32"/>
      <c r="J15" s="39">
        <v>46341.0</v>
      </c>
      <c r="K15" s="32" t="s">
        <v>192</v>
      </c>
      <c r="L15" s="32"/>
      <c r="M15" s="32"/>
      <c r="N15" s="34"/>
      <c r="O15" s="37"/>
      <c r="P15" s="32"/>
      <c r="Q15" s="32"/>
      <c r="R15" s="32"/>
      <c r="S15" s="32"/>
      <c r="T15" s="32"/>
      <c r="U15" s="32"/>
      <c r="V15" s="32"/>
      <c r="W15" s="32"/>
      <c r="X15" s="32"/>
    </row>
    <row r="16">
      <c r="A16" s="50" t="s">
        <v>199</v>
      </c>
      <c r="B16" s="32" t="s">
        <v>23</v>
      </c>
      <c r="C16" s="29" t="s">
        <v>141</v>
      </c>
      <c r="D16" s="139" t="s">
        <v>642</v>
      </c>
      <c r="E16" s="50"/>
      <c r="F16" s="32" t="s">
        <v>174</v>
      </c>
      <c r="G16" s="32" t="s">
        <v>186</v>
      </c>
      <c r="H16" s="32" t="s">
        <v>205</v>
      </c>
      <c r="I16" s="32"/>
      <c r="J16" s="39">
        <v>46356.0</v>
      </c>
      <c r="K16" s="32" t="s">
        <v>192</v>
      </c>
      <c r="L16" s="32"/>
      <c r="M16" s="32"/>
      <c r="N16" s="34"/>
      <c r="O16" s="37"/>
      <c r="P16" s="32"/>
      <c r="Q16" s="32"/>
      <c r="R16" s="32"/>
      <c r="S16" s="32"/>
      <c r="T16" s="32"/>
      <c r="U16" s="32"/>
      <c r="V16" s="32"/>
      <c r="W16" s="32"/>
      <c r="X16" s="32"/>
    </row>
    <row r="17">
      <c r="A17" s="50" t="s">
        <v>199</v>
      </c>
      <c r="B17" s="32" t="s">
        <v>23</v>
      </c>
      <c r="C17" s="29" t="s">
        <v>141</v>
      </c>
      <c r="D17" s="139" t="s">
        <v>643</v>
      </c>
      <c r="E17" s="50"/>
      <c r="F17" s="32" t="s">
        <v>174</v>
      </c>
      <c r="G17" s="32" t="s">
        <v>186</v>
      </c>
      <c r="H17" s="32" t="s">
        <v>205</v>
      </c>
      <c r="I17" s="32"/>
      <c r="J17" s="39">
        <v>46356.0</v>
      </c>
      <c r="K17" s="32" t="s">
        <v>192</v>
      </c>
      <c r="L17" s="32"/>
      <c r="M17" s="32"/>
      <c r="N17" s="34"/>
      <c r="O17" s="37"/>
      <c r="P17" s="32"/>
      <c r="Q17" s="32"/>
      <c r="R17" s="32"/>
      <c r="S17" s="32"/>
      <c r="T17" s="32"/>
      <c r="U17" s="32"/>
      <c r="V17" s="32"/>
      <c r="W17" s="32"/>
      <c r="X17" s="32"/>
    </row>
    <row r="18">
      <c r="A18" s="32" t="s">
        <v>199</v>
      </c>
      <c r="B18" s="32" t="s">
        <v>23</v>
      </c>
      <c r="C18" s="29" t="s">
        <v>141</v>
      </c>
      <c r="D18" s="139" t="s">
        <v>644</v>
      </c>
      <c r="E18" s="50"/>
      <c r="F18" s="32" t="s">
        <v>174</v>
      </c>
      <c r="G18" s="32" t="s">
        <v>186</v>
      </c>
      <c r="H18" s="32" t="s">
        <v>205</v>
      </c>
      <c r="I18" s="32"/>
      <c r="J18" s="39">
        <v>46387.0</v>
      </c>
      <c r="K18" s="32" t="s">
        <v>192</v>
      </c>
      <c r="L18" s="32"/>
      <c r="M18" s="32"/>
      <c r="N18" s="34"/>
      <c r="O18" s="37"/>
      <c r="P18" s="32"/>
      <c r="Q18" s="32"/>
      <c r="R18" s="32"/>
      <c r="S18" s="32"/>
      <c r="T18" s="32"/>
      <c r="U18" s="32"/>
      <c r="V18" s="32"/>
      <c r="W18" s="32"/>
      <c r="X18" s="32"/>
    </row>
    <row r="19">
      <c r="A19" s="32" t="s">
        <v>183</v>
      </c>
      <c r="B19" s="32" t="s">
        <v>31</v>
      </c>
      <c r="C19" s="29" t="s">
        <v>144</v>
      </c>
      <c r="D19" s="29" t="s">
        <v>647</v>
      </c>
      <c r="E19" s="50"/>
      <c r="F19" s="32" t="s">
        <v>174</v>
      </c>
      <c r="G19" s="32" t="s">
        <v>181</v>
      </c>
      <c r="H19" s="32" t="s">
        <v>205</v>
      </c>
      <c r="I19" s="32"/>
      <c r="J19" s="39">
        <v>46081.0</v>
      </c>
      <c r="K19" s="32" t="s">
        <v>177</v>
      </c>
      <c r="L19" s="32"/>
      <c r="M19" s="32"/>
      <c r="N19" s="34"/>
      <c r="O19" s="37"/>
      <c r="P19" s="32"/>
      <c r="Q19" s="32"/>
      <c r="R19" s="32"/>
      <c r="S19" s="32"/>
      <c r="T19" s="32"/>
      <c r="U19" s="32"/>
      <c r="V19" s="32"/>
      <c r="W19" s="32"/>
      <c r="X19" s="32"/>
    </row>
    <row r="20">
      <c r="A20" s="50" t="s">
        <v>183</v>
      </c>
      <c r="B20" s="32" t="s">
        <v>31</v>
      </c>
      <c r="C20" s="29" t="s">
        <v>144</v>
      </c>
      <c r="D20" s="29" t="s">
        <v>648</v>
      </c>
      <c r="E20" s="50"/>
      <c r="F20" s="32" t="s">
        <v>174</v>
      </c>
      <c r="G20" s="32" t="s">
        <v>181</v>
      </c>
      <c r="H20" s="32" t="s">
        <v>205</v>
      </c>
      <c r="I20" s="32"/>
      <c r="J20" s="39">
        <v>46101.0</v>
      </c>
      <c r="K20" s="32" t="s">
        <v>177</v>
      </c>
      <c r="L20" s="32"/>
      <c r="M20" s="32"/>
      <c r="N20" s="34"/>
      <c r="O20" s="37"/>
      <c r="P20" s="32"/>
      <c r="Q20" s="32"/>
      <c r="R20" s="32"/>
      <c r="S20" s="32"/>
      <c r="T20" s="32"/>
      <c r="U20" s="32"/>
      <c r="V20" s="32"/>
      <c r="W20" s="32"/>
      <c r="X20" s="32"/>
    </row>
    <row r="21">
      <c r="A21" s="32" t="s">
        <v>183</v>
      </c>
      <c r="B21" s="32" t="s">
        <v>31</v>
      </c>
      <c r="C21" s="29" t="s">
        <v>144</v>
      </c>
      <c r="D21" s="29" t="s">
        <v>649</v>
      </c>
      <c r="E21" s="50"/>
      <c r="F21" s="32" t="s">
        <v>174</v>
      </c>
      <c r="G21" s="32" t="s">
        <v>181</v>
      </c>
      <c r="H21" s="32" t="s">
        <v>205</v>
      </c>
      <c r="I21" s="32"/>
      <c r="J21" s="39">
        <v>46101.0</v>
      </c>
      <c r="K21" s="32" t="s">
        <v>177</v>
      </c>
      <c r="L21" s="32"/>
      <c r="M21" s="32"/>
      <c r="N21" s="34"/>
      <c r="O21" s="37"/>
      <c r="P21" s="32"/>
      <c r="Q21" s="32"/>
      <c r="R21" s="32"/>
      <c r="S21" s="32"/>
      <c r="T21" s="32"/>
      <c r="U21" s="32"/>
      <c r="V21" s="32"/>
      <c r="W21" s="32"/>
      <c r="X21" s="32"/>
    </row>
    <row r="22">
      <c r="A22" s="32" t="s">
        <v>183</v>
      </c>
      <c r="B22" s="32" t="s">
        <v>39</v>
      </c>
      <c r="C22" s="29" t="s">
        <v>87</v>
      </c>
      <c r="D22" s="29" t="s">
        <v>650</v>
      </c>
      <c r="E22" s="50"/>
      <c r="F22" s="32" t="s">
        <v>185</v>
      </c>
      <c r="G22" s="32" t="s">
        <v>181</v>
      </c>
      <c r="H22" s="32" t="s">
        <v>205</v>
      </c>
      <c r="I22" s="32"/>
      <c r="J22" s="39">
        <v>46132.0</v>
      </c>
      <c r="K22" s="32" t="s">
        <v>177</v>
      </c>
      <c r="L22" s="32"/>
      <c r="M22" s="32"/>
      <c r="N22" s="34"/>
      <c r="O22" s="37"/>
      <c r="P22" s="32"/>
      <c r="Q22" s="32"/>
      <c r="R22" s="32"/>
      <c r="S22" s="32"/>
      <c r="T22" s="32"/>
      <c r="U22" s="32"/>
      <c r="V22" s="32"/>
      <c r="W22" s="32"/>
      <c r="X22" s="32"/>
    </row>
    <row r="23">
      <c r="A23" s="50" t="s">
        <v>183</v>
      </c>
      <c r="B23" s="32" t="s">
        <v>39</v>
      </c>
      <c r="C23" s="29" t="s">
        <v>87</v>
      </c>
      <c r="D23" s="29" t="s">
        <v>651</v>
      </c>
      <c r="E23" s="50"/>
      <c r="F23" s="32" t="s">
        <v>174</v>
      </c>
      <c r="G23" s="32" t="s">
        <v>181</v>
      </c>
      <c r="H23" s="32" t="s">
        <v>205</v>
      </c>
      <c r="I23" s="32"/>
      <c r="J23" s="39">
        <v>46143.0</v>
      </c>
      <c r="K23" s="32" t="s">
        <v>182</v>
      </c>
      <c r="L23" s="32"/>
      <c r="M23" s="32"/>
      <c r="N23" s="34"/>
      <c r="O23" s="37"/>
      <c r="P23" s="32"/>
      <c r="Q23" s="32"/>
      <c r="R23" s="32"/>
      <c r="S23" s="32"/>
      <c r="T23" s="32"/>
      <c r="U23" s="32"/>
      <c r="V23" s="32"/>
      <c r="W23" s="32"/>
      <c r="X23" s="32"/>
    </row>
    <row r="24">
      <c r="A24" s="50" t="s">
        <v>183</v>
      </c>
      <c r="B24" s="32" t="s">
        <v>39</v>
      </c>
      <c r="C24" s="29" t="s">
        <v>87</v>
      </c>
      <c r="D24" s="29" t="s">
        <v>652</v>
      </c>
      <c r="E24" s="50"/>
      <c r="F24" s="32" t="s">
        <v>174</v>
      </c>
      <c r="G24" s="32" t="s">
        <v>181</v>
      </c>
      <c r="H24" s="32" t="s">
        <v>205</v>
      </c>
      <c r="I24" s="32"/>
      <c r="J24" s="39">
        <v>46137.0</v>
      </c>
      <c r="K24" s="50" t="s">
        <v>182</v>
      </c>
      <c r="L24" s="32"/>
      <c r="M24" s="32" t="s">
        <v>2</v>
      </c>
      <c r="N24" s="34"/>
      <c r="O24" s="37"/>
      <c r="P24" s="32"/>
      <c r="Q24" s="32"/>
      <c r="R24" s="32"/>
      <c r="S24" s="32"/>
      <c r="T24" s="32"/>
      <c r="U24" s="32"/>
      <c r="V24" s="32"/>
      <c r="W24" s="32"/>
      <c r="X24" s="32"/>
    </row>
    <row r="25">
      <c r="A25" s="50" t="s">
        <v>183</v>
      </c>
      <c r="B25" s="32" t="s">
        <v>39</v>
      </c>
      <c r="C25" s="29" t="s">
        <v>87</v>
      </c>
      <c r="D25" s="29" t="s">
        <v>653</v>
      </c>
      <c r="E25" s="50"/>
      <c r="F25" s="32" t="s">
        <v>174</v>
      </c>
      <c r="G25" s="32" t="s">
        <v>181</v>
      </c>
      <c r="H25" s="32" t="s">
        <v>205</v>
      </c>
      <c r="I25" s="32"/>
      <c r="J25" s="140">
        <v>46249.0</v>
      </c>
      <c r="K25" s="50" t="s">
        <v>182</v>
      </c>
      <c r="L25" s="32"/>
      <c r="M25" s="32" t="s">
        <v>6</v>
      </c>
      <c r="N25" s="34"/>
      <c r="O25" s="37"/>
      <c r="P25" s="32"/>
      <c r="Q25" s="32"/>
      <c r="R25" s="32"/>
      <c r="S25" s="32"/>
      <c r="T25" s="32"/>
      <c r="U25" s="32"/>
      <c r="V25" s="32"/>
      <c r="W25" s="32"/>
      <c r="X25" s="32"/>
    </row>
    <row r="26">
      <c r="A26" s="50" t="s">
        <v>183</v>
      </c>
      <c r="B26" s="29" t="s">
        <v>46</v>
      </c>
      <c r="C26" s="29" t="s">
        <v>149</v>
      </c>
      <c r="D26" s="29" t="s">
        <v>654</v>
      </c>
      <c r="E26" s="50"/>
      <c r="F26" s="32" t="s">
        <v>174</v>
      </c>
      <c r="G26" s="32" t="s">
        <v>186</v>
      </c>
      <c r="H26" s="32" t="s">
        <v>205</v>
      </c>
      <c r="I26" s="32"/>
      <c r="J26" s="140">
        <v>46127.0</v>
      </c>
      <c r="K26" s="50" t="s">
        <v>182</v>
      </c>
      <c r="L26" s="32"/>
      <c r="M26" s="32" t="s">
        <v>2</v>
      </c>
      <c r="N26" s="34"/>
      <c r="O26" s="37"/>
      <c r="P26" s="32"/>
      <c r="Q26" s="32"/>
      <c r="R26" s="32"/>
      <c r="S26" s="32"/>
      <c r="T26" s="32"/>
      <c r="U26" s="32"/>
      <c r="V26" s="32"/>
      <c r="W26" s="32"/>
      <c r="X26" s="32"/>
    </row>
    <row r="27">
      <c r="A27" s="50" t="s">
        <v>183</v>
      </c>
      <c r="B27" s="29" t="s">
        <v>46</v>
      </c>
      <c r="C27" s="29" t="s">
        <v>149</v>
      </c>
      <c r="D27" s="139" t="s">
        <v>655</v>
      </c>
      <c r="E27" s="50"/>
      <c r="F27" s="32" t="s">
        <v>174</v>
      </c>
      <c r="G27" s="32" t="s">
        <v>186</v>
      </c>
      <c r="H27" s="32" t="s">
        <v>205</v>
      </c>
      <c r="I27" s="32"/>
      <c r="J27" s="140">
        <v>46127.0</v>
      </c>
      <c r="K27" s="32" t="s">
        <v>182</v>
      </c>
      <c r="L27" s="32"/>
      <c r="M27" s="32" t="s">
        <v>2</v>
      </c>
      <c r="N27" s="34"/>
      <c r="O27" s="37"/>
      <c r="P27" s="32"/>
      <c r="Q27" s="32"/>
      <c r="R27" s="32"/>
      <c r="S27" s="32"/>
      <c r="T27" s="32"/>
      <c r="U27" s="32"/>
      <c r="V27" s="32"/>
      <c r="W27" s="32"/>
      <c r="X27" s="32"/>
    </row>
    <row r="28">
      <c r="A28" s="50" t="s">
        <v>183</v>
      </c>
      <c r="B28" s="29" t="s">
        <v>46</v>
      </c>
      <c r="C28" s="29" t="s">
        <v>149</v>
      </c>
      <c r="D28" s="139" t="s">
        <v>656</v>
      </c>
      <c r="E28" s="50"/>
      <c r="F28" s="32" t="s">
        <v>174</v>
      </c>
      <c r="G28" s="32" t="s">
        <v>186</v>
      </c>
      <c r="H28" s="32" t="s">
        <v>205</v>
      </c>
      <c r="I28" s="32"/>
      <c r="J28" s="140">
        <v>46142.0</v>
      </c>
      <c r="K28" s="32" t="s">
        <v>182</v>
      </c>
      <c r="L28" s="32"/>
      <c r="M28" s="32" t="s">
        <v>2</v>
      </c>
      <c r="N28" s="34"/>
      <c r="O28" s="37"/>
      <c r="P28" s="32"/>
      <c r="Q28" s="32"/>
      <c r="R28" s="32"/>
      <c r="S28" s="32"/>
      <c r="T28" s="32"/>
      <c r="U28" s="32"/>
      <c r="V28" s="32"/>
      <c r="W28" s="32"/>
      <c r="X28" s="32"/>
    </row>
    <row r="29">
      <c r="A29" s="32" t="s">
        <v>183</v>
      </c>
      <c r="B29" s="29" t="s">
        <v>46</v>
      </c>
      <c r="C29" s="29" t="s">
        <v>149</v>
      </c>
      <c r="D29" s="139" t="s">
        <v>657</v>
      </c>
      <c r="E29" s="50"/>
      <c r="F29" s="32" t="s">
        <v>174</v>
      </c>
      <c r="G29" s="32" t="s">
        <v>186</v>
      </c>
      <c r="H29" s="32" t="s">
        <v>205</v>
      </c>
      <c r="I29" s="32"/>
      <c r="J29" s="140">
        <v>46173.0</v>
      </c>
      <c r="K29" s="32" t="s">
        <v>182</v>
      </c>
      <c r="L29" s="32"/>
      <c r="M29" s="32" t="s">
        <v>2</v>
      </c>
      <c r="N29" s="34"/>
      <c r="O29" s="37"/>
      <c r="P29" s="32"/>
      <c r="Q29" s="32"/>
      <c r="R29" s="32"/>
      <c r="S29" s="32"/>
      <c r="T29" s="32"/>
      <c r="U29" s="32"/>
      <c r="V29" s="32"/>
      <c r="W29" s="32"/>
      <c r="X29" s="32"/>
    </row>
    <row r="30">
      <c r="A30" s="32" t="s">
        <v>183</v>
      </c>
      <c r="B30" s="29" t="s">
        <v>46</v>
      </c>
      <c r="C30" s="29" t="s">
        <v>149</v>
      </c>
      <c r="D30" s="139" t="s">
        <v>658</v>
      </c>
      <c r="E30" s="50"/>
      <c r="F30" s="32" t="s">
        <v>174</v>
      </c>
      <c r="G30" s="32" t="s">
        <v>186</v>
      </c>
      <c r="H30" s="32" t="s">
        <v>205</v>
      </c>
      <c r="I30" s="32"/>
      <c r="J30" s="140">
        <v>46203.0</v>
      </c>
      <c r="K30" s="50" t="s">
        <v>182</v>
      </c>
      <c r="L30" s="32"/>
      <c r="M30" s="32"/>
      <c r="N30" s="34"/>
      <c r="O30" s="37"/>
      <c r="P30" s="32"/>
      <c r="Q30" s="32"/>
      <c r="R30" s="32"/>
      <c r="S30" s="32"/>
      <c r="T30" s="32"/>
      <c r="U30" s="32"/>
      <c r="V30" s="32"/>
      <c r="W30" s="32"/>
      <c r="X30" s="32"/>
    </row>
    <row r="31">
      <c r="A31" s="32" t="s">
        <v>183</v>
      </c>
      <c r="B31" s="29" t="s">
        <v>54</v>
      </c>
      <c r="C31" s="29" t="s">
        <v>153</v>
      </c>
      <c r="D31" s="139" t="s">
        <v>659</v>
      </c>
      <c r="E31" s="50"/>
      <c r="F31" s="32" t="s">
        <v>174</v>
      </c>
      <c r="G31" s="32" t="s">
        <v>181</v>
      </c>
      <c r="H31" s="32" t="s">
        <v>205</v>
      </c>
      <c r="I31" s="32"/>
      <c r="J31" s="140">
        <v>46213.0</v>
      </c>
      <c r="K31" s="32" t="s">
        <v>187</v>
      </c>
      <c r="L31" s="32"/>
      <c r="M31" s="32"/>
      <c r="N31" s="34"/>
      <c r="O31" s="37"/>
      <c r="P31" s="32"/>
      <c r="Q31" s="32"/>
      <c r="R31" s="32"/>
      <c r="S31" s="32"/>
      <c r="T31" s="32"/>
      <c r="U31" s="32"/>
      <c r="V31" s="32"/>
      <c r="W31" s="32"/>
      <c r="X31" s="32"/>
    </row>
    <row r="32">
      <c r="A32" s="32" t="s">
        <v>183</v>
      </c>
      <c r="B32" s="29" t="s">
        <v>54</v>
      </c>
      <c r="C32" s="29" t="s">
        <v>153</v>
      </c>
      <c r="D32" s="139" t="s">
        <v>660</v>
      </c>
      <c r="E32" s="50"/>
      <c r="F32" s="32" t="s">
        <v>174</v>
      </c>
      <c r="G32" s="32" t="s">
        <v>181</v>
      </c>
      <c r="H32" s="32" t="s">
        <v>205</v>
      </c>
      <c r="I32" s="32"/>
      <c r="J32" s="140">
        <v>46223.0</v>
      </c>
      <c r="K32" s="50" t="s">
        <v>187</v>
      </c>
      <c r="L32" s="32"/>
      <c r="M32" s="32"/>
      <c r="N32" s="34"/>
      <c r="O32" s="37"/>
      <c r="P32" s="32"/>
      <c r="Q32" s="32"/>
      <c r="R32" s="32"/>
      <c r="S32" s="32"/>
      <c r="T32" s="32"/>
      <c r="U32" s="32"/>
      <c r="V32" s="32"/>
      <c r="W32" s="32"/>
      <c r="X32" s="32"/>
    </row>
    <row r="33">
      <c r="A33" s="32" t="s">
        <v>183</v>
      </c>
      <c r="B33" s="29" t="s">
        <v>54</v>
      </c>
      <c r="C33" s="29" t="s">
        <v>153</v>
      </c>
      <c r="D33" s="139" t="s">
        <v>661</v>
      </c>
      <c r="E33" s="50"/>
      <c r="F33" s="32" t="s">
        <v>174</v>
      </c>
      <c r="G33" s="32" t="s">
        <v>181</v>
      </c>
      <c r="H33" s="32" t="s">
        <v>205</v>
      </c>
      <c r="I33" s="32"/>
      <c r="J33" s="140">
        <v>46233.0</v>
      </c>
      <c r="K33" s="32" t="s">
        <v>187</v>
      </c>
      <c r="L33" s="32"/>
      <c r="M33" s="32"/>
      <c r="N33" s="34"/>
      <c r="O33" s="37"/>
      <c r="P33" s="32"/>
      <c r="Q33" s="32"/>
      <c r="R33" s="32"/>
      <c r="S33" s="32"/>
      <c r="T33" s="32"/>
      <c r="U33" s="32"/>
      <c r="V33" s="32"/>
      <c r="W33" s="32"/>
      <c r="X33" s="32"/>
    </row>
    <row r="34">
      <c r="A34" s="32" t="s">
        <v>183</v>
      </c>
      <c r="B34" s="29" t="s">
        <v>54</v>
      </c>
      <c r="C34" s="29" t="s">
        <v>153</v>
      </c>
      <c r="D34" s="139" t="s">
        <v>662</v>
      </c>
      <c r="E34" s="50"/>
      <c r="F34" s="32" t="s">
        <v>174</v>
      </c>
      <c r="G34" s="32" t="s">
        <v>181</v>
      </c>
      <c r="H34" s="32" t="s">
        <v>205</v>
      </c>
      <c r="I34" s="32"/>
      <c r="J34" s="140">
        <v>46249.0</v>
      </c>
      <c r="K34" s="32" t="s">
        <v>187</v>
      </c>
      <c r="L34" s="32"/>
      <c r="M34" s="32"/>
      <c r="N34" s="34"/>
      <c r="O34" s="37"/>
      <c r="P34" s="32"/>
      <c r="Q34" s="32"/>
      <c r="R34" s="32"/>
      <c r="S34" s="32"/>
      <c r="T34" s="32"/>
      <c r="U34" s="32"/>
      <c r="V34" s="32"/>
      <c r="W34" s="32"/>
      <c r="X34" s="32"/>
    </row>
    <row r="35">
      <c r="A35" s="32" t="s">
        <v>183</v>
      </c>
      <c r="B35" s="29" t="s">
        <v>54</v>
      </c>
      <c r="C35" s="29" t="s">
        <v>153</v>
      </c>
      <c r="D35" s="139" t="s">
        <v>663</v>
      </c>
      <c r="E35" s="50"/>
      <c r="F35" s="32" t="s">
        <v>174</v>
      </c>
      <c r="G35" s="32" t="s">
        <v>181</v>
      </c>
      <c r="H35" s="32" t="s">
        <v>205</v>
      </c>
      <c r="I35" s="32"/>
      <c r="J35" s="140">
        <v>46280.0</v>
      </c>
      <c r="K35" s="32" t="s">
        <v>192</v>
      </c>
      <c r="L35" s="32"/>
      <c r="M35" s="32"/>
      <c r="N35" s="34"/>
      <c r="O35" s="37"/>
      <c r="P35" s="32"/>
      <c r="Q35" s="32"/>
      <c r="R35" s="32"/>
      <c r="S35" s="32"/>
      <c r="T35" s="32"/>
      <c r="U35" s="32"/>
      <c r="V35" s="32"/>
      <c r="W35" s="32"/>
      <c r="X35" s="32"/>
    </row>
    <row r="36">
      <c r="A36" s="25" t="s">
        <v>183</v>
      </c>
      <c r="B36" s="25" t="s">
        <v>60</v>
      </c>
      <c r="C36" s="21" t="s">
        <v>155</v>
      </c>
      <c r="D36" s="22" t="s">
        <v>664</v>
      </c>
      <c r="E36" s="21" t="s">
        <v>255</v>
      </c>
      <c r="F36" s="25" t="s">
        <v>174</v>
      </c>
      <c r="G36" s="25" t="s">
        <v>181</v>
      </c>
      <c r="H36" s="25" t="s">
        <v>205</v>
      </c>
      <c r="I36" s="25"/>
      <c r="J36" s="141">
        <v>46218.0</v>
      </c>
      <c r="K36" s="25" t="s">
        <v>187</v>
      </c>
      <c r="L36" s="25"/>
      <c r="M36" s="25"/>
      <c r="N36" s="26"/>
      <c r="O36" s="27"/>
      <c r="P36" s="25"/>
      <c r="Q36" s="25"/>
      <c r="R36" s="25"/>
      <c r="S36" s="25"/>
      <c r="T36" s="25"/>
      <c r="U36" s="25"/>
      <c r="V36" s="25"/>
      <c r="W36" s="25"/>
      <c r="X36" s="25"/>
    </row>
    <row r="37">
      <c r="A37" s="25" t="s">
        <v>183</v>
      </c>
      <c r="B37" s="25" t="s">
        <v>60</v>
      </c>
      <c r="C37" s="21" t="s">
        <v>155</v>
      </c>
      <c r="D37" s="22" t="s">
        <v>665</v>
      </c>
      <c r="E37" s="21" t="s">
        <v>255</v>
      </c>
      <c r="F37" s="25" t="s">
        <v>174</v>
      </c>
      <c r="G37" s="25" t="s">
        <v>181</v>
      </c>
      <c r="H37" s="25" t="s">
        <v>205</v>
      </c>
      <c r="I37" s="25"/>
      <c r="J37" s="141">
        <v>46233.0</v>
      </c>
      <c r="K37" s="25" t="s">
        <v>187</v>
      </c>
      <c r="L37" s="25"/>
      <c r="M37" s="25"/>
      <c r="N37" s="26"/>
      <c r="O37" s="27"/>
      <c r="P37" s="25"/>
      <c r="Q37" s="25"/>
      <c r="R37" s="25"/>
      <c r="S37" s="25"/>
      <c r="T37" s="25"/>
      <c r="U37" s="25"/>
      <c r="V37" s="25"/>
      <c r="W37" s="25"/>
      <c r="X37" s="25"/>
    </row>
    <row r="38">
      <c r="A38" s="25" t="s">
        <v>183</v>
      </c>
      <c r="B38" s="25" t="s">
        <v>60</v>
      </c>
      <c r="C38" s="21" t="s">
        <v>155</v>
      </c>
      <c r="D38" s="22" t="s">
        <v>666</v>
      </c>
      <c r="E38" s="21" t="s">
        <v>255</v>
      </c>
      <c r="F38" s="25" t="s">
        <v>174</v>
      </c>
      <c r="G38" s="25" t="s">
        <v>181</v>
      </c>
      <c r="H38" s="25" t="s">
        <v>205</v>
      </c>
      <c r="I38" s="25"/>
      <c r="J38" s="141">
        <v>46265.0</v>
      </c>
      <c r="K38" s="25" t="s">
        <v>187</v>
      </c>
      <c r="L38" s="25"/>
      <c r="M38" s="25"/>
      <c r="N38" s="26"/>
      <c r="O38" s="27"/>
      <c r="P38" s="25"/>
      <c r="Q38" s="25"/>
      <c r="R38" s="25"/>
      <c r="S38" s="25"/>
      <c r="T38" s="25"/>
      <c r="U38" s="25"/>
      <c r="V38" s="25"/>
      <c r="W38" s="25"/>
      <c r="X38" s="25"/>
    </row>
    <row r="39">
      <c r="A39" s="32" t="s">
        <v>183</v>
      </c>
      <c r="B39" s="29" t="s">
        <v>74</v>
      </c>
      <c r="C39" s="29" t="s">
        <v>103</v>
      </c>
      <c r="D39" s="31" t="s">
        <v>667</v>
      </c>
      <c r="E39" s="50"/>
      <c r="F39" s="32" t="s">
        <v>174</v>
      </c>
      <c r="G39" s="32" t="s">
        <v>181</v>
      </c>
      <c r="H39" s="32" t="s">
        <v>205</v>
      </c>
      <c r="I39" s="32"/>
      <c r="J39" s="140">
        <v>46295.0</v>
      </c>
      <c r="K39" s="32" t="s">
        <v>187</v>
      </c>
      <c r="L39" s="32"/>
      <c r="M39" s="32"/>
      <c r="N39" s="34"/>
      <c r="O39" s="37"/>
      <c r="P39" s="32"/>
      <c r="Q39" s="32"/>
      <c r="R39" s="32"/>
      <c r="S39" s="32"/>
      <c r="T39" s="32"/>
      <c r="U39" s="32"/>
      <c r="V39" s="32"/>
      <c r="W39" s="32"/>
      <c r="X39" s="32"/>
    </row>
    <row r="40">
      <c r="A40" s="32" t="s">
        <v>183</v>
      </c>
      <c r="B40" s="29" t="s">
        <v>65</v>
      </c>
      <c r="C40" s="29" t="s">
        <v>159</v>
      </c>
      <c r="D40" s="31" t="s">
        <v>654</v>
      </c>
      <c r="E40" s="50"/>
      <c r="F40" s="32" t="s">
        <v>174</v>
      </c>
      <c r="G40" s="32" t="s">
        <v>181</v>
      </c>
      <c r="H40" s="32" t="s">
        <v>205</v>
      </c>
      <c r="I40" s="32"/>
      <c r="J40" s="140">
        <v>46305.0</v>
      </c>
      <c r="K40" s="32" t="s">
        <v>192</v>
      </c>
      <c r="L40" s="32"/>
      <c r="M40" s="32"/>
      <c r="N40" s="34"/>
      <c r="O40" s="37"/>
      <c r="P40" s="32"/>
      <c r="Q40" s="32"/>
      <c r="R40" s="32"/>
      <c r="S40" s="32"/>
      <c r="T40" s="32"/>
      <c r="U40" s="32"/>
      <c r="V40" s="32"/>
      <c r="W40" s="32"/>
      <c r="X40" s="32"/>
    </row>
    <row r="41">
      <c r="A41" s="32" t="s">
        <v>183</v>
      </c>
      <c r="B41" s="29" t="s">
        <v>65</v>
      </c>
      <c r="C41" s="29" t="s">
        <v>159</v>
      </c>
      <c r="D41" s="29" t="s">
        <v>668</v>
      </c>
      <c r="E41" s="50"/>
      <c r="F41" s="32" t="s">
        <v>174</v>
      </c>
      <c r="G41" s="32" t="s">
        <v>181</v>
      </c>
      <c r="H41" s="32" t="s">
        <v>205</v>
      </c>
      <c r="I41" s="32"/>
      <c r="J41" s="140">
        <v>46326.0</v>
      </c>
      <c r="K41" s="32" t="s">
        <v>192</v>
      </c>
      <c r="L41" s="32"/>
      <c r="M41" s="32"/>
      <c r="N41" s="34"/>
      <c r="O41" s="37"/>
      <c r="P41" s="32"/>
      <c r="Q41" s="32"/>
      <c r="R41" s="32"/>
      <c r="S41" s="32"/>
      <c r="T41" s="32"/>
      <c r="U41" s="32"/>
      <c r="V41" s="32"/>
      <c r="W41" s="32"/>
      <c r="X41" s="32"/>
    </row>
    <row r="42">
      <c r="A42" s="32" t="s">
        <v>188</v>
      </c>
      <c r="B42" s="29" t="s">
        <v>70</v>
      </c>
      <c r="C42" s="29" t="s">
        <v>160</v>
      </c>
      <c r="D42" s="139" t="s">
        <v>669</v>
      </c>
      <c r="E42" s="50"/>
      <c r="F42" s="32" t="s">
        <v>174</v>
      </c>
      <c r="G42" s="32" t="s">
        <v>181</v>
      </c>
      <c r="H42" s="32" t="s">
        <v>205</v>
      </c>
      <c r="I42" s="32"/>
      <c r="J42" s="140">
        <v>46310.0</v>
      </c>
      <c r="K42" s="32" t="s">
        <v>192</v>
      </c>
      <c r="L42" s="32" t="s">
        <v>6</v>
      </c>
      <c r="M42" s="32" t="s">
        <v>6</v>
      </c>
      <c r="N42" s="34"/>
      <c r="O42" s="37"/>
      <c r="P42" s="32"/>
      <c r="Q42" s="32"/>
      <c r="R42" s="32"/>
      <c r="S42" s="32"/>
      <c r="T42" s="32"/>
      <c r="U42" s="32"/>
      <c r="V42" s="32"/>
      <c r="W42" s="32"/>
      <c r="X42" s="32"/>
    </row>
    <row r="43">
      <c r="A43" s="32" t="s">
        <v>188</v>
      </c>
      <c r="B43" s="29" t="s">
        <v>70</v>
      </c>
      <c r="C43" s="29" t="s">
        <v>160</v>
      </c>
      <c r="D43" s="139" t="s">
        <v>670</v>
      </c>
      <c r="E43" s="50"/>
      <c r="F43" s="32" t="s">
        <v>174</v>
      </c>
      <c r="G43" s="32" t="s">
        <v>181</v>
      </c>
      <c r="H43" s="32" t="s">
        <v>205</v>
      </c>
      <c r="I43" s="32"/>
      <c r="J43" s="140">
        <v>46310.0</v>
      </c>
      <c r="K43" s="32" t="s">
        <v>192</v>
      </c>
      <c r="L43" s="32" t="s">
        <v>6</v>
      </c>
      <c r="M43" s="32" t="s">
        <v>6</v>
      </c>
      <c r="N43" s="34"/>
      <c r="O43" s="37"/>
      <c r="P43" s="32"/>
      <c r="Q43" s="32"/>
      <c r="R43" s="32"/>
      <c r="S43" s="32"/>
      <c r="T43" s="32"/>
      <c r="U43" s="32"/>
      <c r="V43" s="32"/>
      <c r="W43" s="32"/>
      <c r="X43" s="32"/>
    </row>
    <row r="44">
      <c r="A44" s="32" t="s">
        <v>188</v>
      </c>
      <c r="B44" s="29" t="s">
        <v>70</v>
      </c>
      <c r="C44" s="29" t="s">
        <v>160</v>
      </c>
      <c r="D44" s="139" t="s">
        <v>671</v>
      </c>
      <c r="E44" s="50"/>
      <c r="F44" s="32" t="s">
        <v>174</v>
      </c>
      <c r="G44" s="32" t="s">
        <v>181</v>
      </c>
      <c r="H44" s="32" t="s">
        <v>205</v>
      </c>
      <c r="I44" s="32"/>
      <c r="J44" s="140">
        <v>46326.0</v>
      </c>
      <c r="K44" s="32" t="s">
        <v>192</v>
      </c>
      <c r="L44" s="32"/>
      <c r="M44" s="32"/>
      <c r="N44" s="34"/>
      <c r="O44" s="37"/>
      <c r="P44" s="32"/>
      <c r="Q44" s="32"/>
      <c r="R44" s="32"/>
      <c r="S44" s="32"/>
      <c r="T44" s="32"/>
      <c r="U44" s="32"/>
      <c r="V44" s="32"/>
      <c r="W44" s="32"/>
      <c r="X44" s="32"/>
    </row>
    <row r="45">
      <c r="A45" s="32" t="s">
        <v>188</v>
      </c>
      <c r="B45" s="29" t="s">
        <v>70</v>
      </c>
      <c r="C45" s="29" t="s">
        <v>160</v>
      </c>
      <c r="D45" s="139" t="s">
        <v>672</v>
      </c>
      <c r="E45" s="50"/>
      <c r="F45" s="32" t="s">
        <v>174</v>
      </c>
      <c r="G45" s="32" t="s">
        <v>181</v>
      </c>
      <c r="H45" s="32" t="s">
        <v>205</v>
      </c>
      <c r="I45" s="32"/>
      <c r="J45" s="140">
        <v>46341.0</v>
      </c>
      <c r="K45" s="32" t="s">
        <v>192</v>
      </c>
      <c r="L45" s="32"/>
      <c r="M45" s="32"/>
      <c r="N45" s="34"/>
      <c r="O45" s="37"/>
      <c r="P45" s="32"/>
      <c r="Q45" s="32"/>
      <c r="R45" s="32"/>
      <c r="S45" s="32"/>
      <c r="T45" s="32"/>
      <c r="U45" s="32"/>
      <c r="V45" s="32"/>
      <c r="W45" s="32"/>
      <c r="X45" s="32"/>
    </row>
    <row r="46">
      <c r="A46" s="142"/>
      <c r="B46" s="142"/>
      <c r="C46" s="143"/>
      <c r="D46" s="144" t="s">
        <v>673</v>
      </c>
      <c r="E46" s="145"/>
      <c r="F46" s="142"/>
      <c r="G46" s="142"/>
      <c r="H46" s="142"/>
      <c r="I46" s="146"/>
      <c r="J46" s="147"/>
      <c r="K46" s="142"/>
      <c r="L46" s="148"/>
      <c r="M46" s="142"/>
      <c r="N46" s="149"/>
      <c r="O46" s="150"/>
      <c r="P46" s="146"/>
      <c r="Q46" s="146"/>
      <c r="R46" s="146"/>
      <c r="S46" s="146"/>
      <c r="T46" s="146"/>
      <c r="U46" s="146"/>
      <c r="V46" s="146"/>
      <c r="W46" s="146"/>
      <c r="X46" s="146"/>
    </row>
    <row r="47">
      <c r="A47" s="142"/>
      <c r="B47" s="142"/>
      <c r="C47" s="143"/>
      <c r="D47" s="144" t="s">
        <v>674</v>
      </c>
      <c r="E47" s="145"/>
      <c r="F47" s="142"/>
      <c r="G47" s="142"/>
      <c r="H47" s="142"/>
      <c r="I47" s="146"/>
      <c r="J47" s="147"/>
      <c r="K47" s="142"/>
      <c r="L47" s="148"/>
      <c r="M47" s="142"/>
      <c r="N47" s="149"/>
      <c r="O47" s="150"/>
      <c r="P47" s="146"/>
      <c r="Q47" s="146"/>
      <c r="R47" s="146"/>
      <c r="S47" s="146"/>
      <c r="T47" s="146"/>
      <c r="U47" s="146"/>
      <c r="V47" s="146"/>
      <c r="W47" s="146"/>
      <c r="X47" s="146"/>
    </row>
    <row r="48">
      <c r="A48" s="8"/>
      <c r="B48" s="6"/>
      <c r="C48" s="71"/>
      <c r="D48" s="151"/>
      <c r="E48" s="50"/>
      <c r="F48" s="8"/>
      <c r="G48" s="8"/>
      <c r="H48" s="8"/>
      <c r="I48" s="32"/>
      <c r="J48" s="57"/>
      <c r="K48" s="8"/>
      <c r="L48" s="8"/>
      <c r="M48" s="8"/>
      <c r="N48" s="152"/>
      <c r="O48" s="58"/>
      <c r="P48" s="32"/>
      <c r="Q48" s="32"/>
      <c r="R48" s="32"/>
      <c r="S48" s="32"/>
      <c r="T48" s="32"/>
      <c r="U48" s="32"/>
      <c r="V48" s="32"/>
      <c r="W48" s="32"/>
      <c r="X48" s="32"/>
    </row>
    <row r="49">
      <c r="A49" s="8"/>
      <c r="B49" s="6"/>
      <c r="C49" s="71"/>
      <c r="D49" s="151"/>
      <c r="E49" s="50"/>
      <c r="F49" s="8"/>
      <c r="G49" s="8"/>
      <c r="H49" s="8"/>
      <c r="I49" s="32"/>
      <c r="J49" s="57"/>
      <c r="K49" s="8"/>
      <c r="L49" s="8"/>
      <c r="M49" s="8"/>
      <c r="N49" s="152"/>
      <c r="O49" s="58"/>
      <c r="P49" s="32"/>
      <c r="Q49" s="32"/>
      <c r="R49" s="32"/>
      <c r="S49" s="32"/>
      <c r="T49" s="32"/>
      <c r="U49" s="32"/>
      <c r="V49" s="32"/>
      <c r="W49" s="32"/>
      <c r="X49" s="32"/>
    </row>
    <row r="50">
      <c r="A50" s="8"/>
      <c r="B50" s="6"/>
      <c r="C50" s="71"/>
      <c r="D50" s="151"/>
      <c r="E50" s="50"/>
      <c r="F50" s="8"/>
      <c r="G50" s="8"/>
      <c r="H50" s="8"/>
      <c r="I50" s="32"/>
      <c r="J50" s="57"/>
      <c r="K50" s="8"/>
      <c r="L50" s="8"/>
      <c r="M50" s="8"/>
      <c r="N50" s="152"/>
      <c r="O50" s="58"/>
      <c r="P50" s="32"/>
      <c r="Q50" s="32"/>
      <c r="R50" s="32"/>
      <c r="S50" s="32"/>
      <c r="T50" s="32"/>
      <c r="U50" s="32"/>
      <c r="V50" s="32"/>
      <c r="W50" s="32"/>
      <c r="X50" s="32"/>
    </row>
    <row r="51">
      <c r="A51" s="8"/>
      <c r="B51" s="6"/>
      <c r="C51" s="71"/>
      <c r="D51" s="153"/>
      <c r="E51" s="50"/>
      <c r="F51" s="8"/>
      <c r="G51" s="8"/>
      <c r="H51" s="8"/>
      <c r="I51" s="32"/>
      <c r="J51" s="57"/>
      <c r="K51" s="8"/>
      <c r="L51" s="8"/>
      <c r="M51" s="8"/>
      <c r="N51" s="152"/>
      <c r="O51" s="58"/>
      <c r="P51" s="32"/>
      <c r="Q51" s="32"/>
      <c r="R51" s="32"/>
      <c r="S51" s="32"/>
      <c r="T51" s="32"/>
      <c r="U51" s="32"/>
      <c r="V51" s="32"/>
      <c r="W51" s="32"/>
      <c r="X51" s="32"/>
    </row>
    <row r="52">
      <c r="A52" s="8"/>
      <c r="B52" s="6"/>
      <c r="C52" s="71"/>
      <c r="D52" s="6"/>
      <c r="E52" s="50"/>
      <c r="F52" s="8"/>
      <c r="G52" s="8"/>
      <c r="H52" s="8"/>
      <c r="I52" s="32"/>
      <c r="J52" s="57"/>
      <c r="K52" s="8"/>
      <c r="L52" s="8"/>
      <c r="M52" s="8"/>
      <c r="N52" s="152"/>
      <c r="O52" s="58"/>
      <c r="P52" s="32"/>
      <c r="Q52" s="32"/>
      <c r="R52" s="32"/>
      <c r="S52" s="32"/>
      <c r="T52" s="32"/>
      <c r="U52" s="32"/>
      <c r="V52" s="32"/>
      <c r="W52" s="32"/>
      <c r="X52" s="32"/>
    </row>
    <row r="53">
      <c r="A53" s="8"/>
      <c r="B53" s="6"/>
      <c r="C53" s="71"/>
      <c r="D53" s="6"/>
      <c r="E53" s="50"/>
      <c r="F53" s="8"/>
      <c r="G53" s="8"/>
      <c r="H53" s="8"/>
      <c r="I53" s="32"/>
      <c r="J53" s="57"/>
      <c r="K53" s="8"/>
      <c r="L53" s="8"/>
      <c r="M53" s="8"/>
      <c r="N53" s="152"/>
      <c r="O53" s="58"/>
      <c r="P53" s="32"/>
      <c r="Q53" s="32"/>
      <c r="R53" s="32"/>
      <c r="S53" s="32"/>
      <c r="T53" s="32"/>
      <c r="U53" s="32"/>
      <c r="V53" s="32"/>
      <c r="W53" s="32"/>
      <c r="X53" s="32"/>
    </row>
    <row r="54">
      <c r="A54" s="8"/>
      <c r="B54" s="6"/>
      <c r="C54" s="71"/>
      <c r="D54" s="6"/>
      <c r="E54" s="50"/>
      <c r="F54" s="8"/>
      <c r="G54" s="8"/>
      <c r="H54" s="8"/>
      <c r="I54" s="32"/>
      <c r="J54" s="57"/>
      <c r="K54" s="8"/>
      <c r="L54" s="8"/>
      <c r="M54" s="8"/>
      <c r="N54" s="152"/>
      <c r="O54" s="58"/>
      <c r="P54" s="32"/>
      <c r="Q54" s="32"/>
      <c r="R54" s="32"/>
      <c r="S54" s="32"/>
      <c r="T54" s="32"/>
      <c r="U54" s="32"/>
      <c r="V54" s="32"/>
      <c r="W54" s="32"/>
      <c r="X54" s="32"/>
    </row>
    <row r="55">
      <c r="A55" s="8"/>
      <c r="B55" s="6"/>
      <c r="C55" s="71"/>
      <c r="D55" s="6"/>
      <c r="E55" s="50"/>
      <c r="F55" s="8"/>
      <c r="G55" s="8"/>
      <c r="H55" s="8"/>
      <c r="I55" s="32"/>
      <c r="J55" s="57"/>
      <c r="K55" s="8"/>
      <c r="L55" s="8"/>
      <c r="M55" s="8"/>
      <c r="N55" s="152"/>
      <c r="O55" s="58"/>
      <c r="P55" s="32"/>
      <c r="Q55" s="32"/>
      <c r="R55" s="32"/>
      <c r="S55" s="32"/>
      <c r="T55" s="32"/>
      <c r="U55" s="32"/>
      <c r="V55" s="32"/>
      <c r="W55" s="32"/>
      <c r="X55" s="32"/>
    </row>
    <row r="56">
      <c r="A56" s="8"/>
      <c r="B56" s="6"/>
      <c r="C56" s="71"/>
      <c r="D56" s="6"/>
      <c r="E56" s="50"/>
      <c r="F56" s="8"/>
      <c r="G56" s="8"/>
      <c r="H56" s="8"/>
      <c r="I56" s="32"/>
      <c r="J56" s="57"/>
      <c r="K56" s="8"/>
      <c r="L56" s="8"/>
      <c r="M56" s="8"/>
      <c r="N56" s="152"/>
      <c r="O56" s="58"/>
      <c r="P56" s="32"/>
      <c r="Q56" s="32"/>
      <c r="R56" s="32"/>
      <c r="S56" s="32"/>
      <c r="T56" s="32"/>
      <c r="U56" s="32"/>
      <c r="V56" s="32"/>
      <c r="W56" s="32"/>
      <c r="X56" s="32"/>
    </row>
    <row r="57">
      <c r="A57" s="8"/>
      <c r="B57" s="6"/>
      <c r="C57" s="71"/>
      <c r="D57" s="6"/>
      <c r="E57" s="50"/>
      <c r="F57" s="8"/>
      <c r="G57" s="8"/>
      <c r="H57" s="8"/>
      <c r="I57" s="32"/>
      <c r="J57" s="57"/>
      <c r="K57" s="8"/>
      <c r="L57" s="8"/>
      <c r="M57" s="8"/>
      <c r="N57" s="152"/>
      <c r="O57" s="58"/>
      <c r="P57" s="32"/>
      <c r="Q57" s="32"/>
      <c r="R57" s="32"/>
      <c r="S57" s="32"/>
      <c r="T57" s="32"/>
      <c r="U57" s="32"/>
      <c r="V57" s="32"/>
      <c r="W57" s="32"/>
      <c r="X57" s="32"/>
    </row>
    <row r="58">
      <c r="A58" s="77"/>
      <c r="B58" s="134"/>
      <c r="C58" s="77"/>
      <c r="D58" s="78"/>
      <c r="E58" s="50"/>
      <c r="F58" s="77"/>
      <c r="G58" s="77"/>
      <c r="H58" s="77"/>
      <c r="I58" s="32"/>
      <c r="J58" s="80"/>
      <c r="K58" s="77"/>
      <c r="L58" s="77"/>
      <c r="M58" s="77"/>
      <c r="N58" s="154"/>
      <c r="O58" s="96"/>
      <c r="P58" s="32"/>
      <c r="Q58" s="32"/>
      <c r="R58" s="32"/>
      <c r="S58" s="32"/>
      <c r="T58" s="32"/>
      <c r="U58" s="32"/>
      <c r="V58" s="32"/>
      <c r="W58" s="32"/>
      <c r="X58" s="32"/>
    </row>
    <row r="59">
      <c r="A59" s="8"/>
      <c r="B59" s="6"/>
      <c r="C59" s="71"/>
      <c r="D59" s="6"/>
      <c r="E59" s="50"/>
      <c r="F59" s="8"/>
      <c r="G59" s="8"/>
      <c r="H59" s="8"/>
      <c r="I59" s="32"/>
      <c r="J59" s="57"/>
      <c r="K59" s="8"/>
      <c r="L59" s="74"/>
      <c r="M59" s="74"/>
      <c r="N59" s="152"/>
      <c r="O59" s="58"/>
      <c r="P59" s="32"/>
      <c r="Q59" s="32"/>
      <c r="R59" s="32"/>
      <c r="S59" s="32"/>
      <c r="T59" s="32"/>
      <c r="U59" s="32"/>
      <c r="V59" s="32"/>
      <c r="W59" s="32"/>
      <c r="X59" s="32"/>
    </row>
    <row r="60">
      <c r="A60" s="8"/>
      <c r="B60" s="6"/>
      <c r="C60" s="71"/>
      <c r="D60" s="6"/>
      <c r="E60" s="50"/>
      <c r="F60" s="8"/>
      <c r="G60" s="8"/>
      <c r="H60" s="8"/>
      <c r="I60" s="32"/>
      <c r="J60" s="57"/>
      <c r="K60" s="8"/>
      <c r="L60" s="8"/>
      <c r="M60" s="8"/>
      <c r="N60" s="152"/>
      <c r="O60" s="58"/>
      <c r="P60" s="32"/>
      <c r="Q60" s="32"/>
      <c r="R60" s="32"/>
      <c r="S60" s="32"/>
      <c r="T60" s="32"/>
      <c r="U60" s="32"/>
      <c r="V60" s="32"/>
      <c r="W60" s="32"/>
      <c r="X60" s="32"/>
    </row>
    <row r="61">
      <c r="A61" s="8"/>
      <c r="B61" s="6"/>
      <c r="C61" s="71"/>
      <c r="D61" s="6"/>
      <c r="E61" s="50"/>
      <c r="F61" s="8"/>
      <c r="G61" s="8"/>
      <c r="H61" s="8"/>
      <c r="I61" s="32"/>
      <c r="J61" s="57"/>
      <c r="K61" s="8"/>
      <c r="L61" s="8"/>
      <c r="M61" s="8"/>
      <c r="N61" s="152"/>
      <c r="O61" s="58"/>
      <c r="P61" s="32"/>
      <c r="Q61" s="32"/>
      <c r="R61" s="32"/>
      <c r="S61" s="32"/>
      <c r="T61" s="32"/>
      <c r="U61" s="32"/>
      <c r="V61" s="32"/>
      <c r="W61" s="32"/>
      <c r="X61" s="32"/>
    </row>
    <row r="62">
      <c r="A62" s="8"/>
      <c r="B62" s="6"/>
      <c r="C62" s="71"/>
      <c r="D62" s="6"/>
      <c r="E62" s="50"/>
      <c r="F62" s="8"/>
      <c r="G62" s="8"/>
      <c r="H62" s="8"/>
      <c r="I62" s="32"/>
      <c r="J62" s="57"/>
      <c r="K62" s="8"/>
      <c r="L62" s="8"/>
      <c r="M62" s="8"/>
      <c r="N62" s="152"/>
      <c r="O62" s="58"/>
      <c r="P62" s="32"/>
      <c r="Q62" s="32"/>
      <c r="R62" s="32"/>
      <c r="S62" s="32"/>
      <c r="T62" s="32"/>
      <c r="U62" s="32"/>
      <c r="V62" s="32"/>
      <c r="W62" s="32"/>
      <c r="X62" s="32"/>
    </row>
    <row r="63">
      <c r="A63" s="8"/>
      <c r="B63" s="6"/>
      <c r="C63" s="71"/>
      <c r="D63" s="6"/>
      <c r="E63" s="50"/>
      <c r="F63" s="8"/>
      <c r="G63" s="8"/>
      <c r="H63" s="8"/>
      <c r="I63" s="32"/>
      <c r="J63" s="57"/>
      <c r="K63" s="8"/>
      <c r="L63" s="8"/>
      <c r="M63" s="8"/>
      <c r="N63" s="152"/>
      <c r="O63" s="58"/>
      <c r="P63" s="32"/>
      <c r="Q63" s="32"/>
      <c r="R63" s="32"/>
      <c r="S63" s="32"/>
      <c r="T63" s="32"/>
      <c r="U63" s="32"/>
      <c r="V63" s="32"/>
      <c r="W63" s="32"/>
      <c r="X63" s="32"/>
    </row>
    <row r="64">
      <c r="A64" s="8"/>
      <c r="B64" s="6"/>
      <c r="C64" s="71"/>
      <c r="D64" s="6"/>
      <c r="E64" s="50"/>
      <c r="F64" s="8"/>
      <c r="G64" s="8"/>
      <c r="H64" s="8"/>
      <c r="I64" s="32"/>
      <c r="J64" s="57"/>
      <c r="K64" s="8"/>
      <c r="L64" s="8"/>
      <c r="M64" s="8"/>
      <c r="N64" s="152"/>
      <c r="O64" s="58"/>
      <c r="P64" s="32"/>
      <c r="Q64" s="32"/>
      <c r="R64" s="32"/>
      <c r="S64" s="32"/>
      <c r="T64" s="32"/>
      <c r="U64" s="32"/>
      <c r="V64" s="32"/>
      <c r="W64" s="32"/>
      <c r="X64" s="32"/>
    </row>
    <row r="65">
      <c r="A65" s="8"/>
      <c r="B65" s="6"/>
      <c r="C65" s="71"/>
      <c r="D65" s="6"/>
      <c r="E65" s="50"/>
      <c r="F65" s="8"/>
      <c r="G65" s="8"/>
      <c r="H65" s="8"/>
      <c r="I65" s="32"/>
      <c r="J65" s="57"/>
      <c r="K65" s="8"/>
      <c r="L65" s="8"/>
      <c r="M65" s="8"/>
      <c r="N65" s="152"/>
      <c r="O65" s="58"/>
      <c r="P65" s="32"/>
      <c r="Q65" s="32"/>
      <c r="R65" s="32"/>
      <c r="S65" s="32"/>
      <c r="T65" s="32"/>
      <c r="U65" s="32"/>
      <c r="V65" s="32"/>
      <c r="W65" s="32"/>
      <c r="X65" s="32"/>
    </row>
    <row r="66">
      <c r="A66" s="8"/>
      <c r="B66" s="6"/>
      <c r="C66" s="71"/>
      <c r="D66" s="8"/>
      <c r="E66" s="50"/>
      <c r="F66" s="8"/>
      <c r="G66" s="8"/>
      <c r="H66" s="8"/>
      <c r="I66" s="32"/>
      <c r="J66" s="57"/>
      <c r="K66" s="8"/>
      <c r="L66" s="8"/>
      <c r="M66" s="8"/>
      <c r="N66" s="152"/>
      <c r="O66" s="58"/>
      <c r="P66" s="32"/>
      <c r="Q66" s="32"/>
      <c r="R66" s="32"/>
      <c r="S66" s="32"/>
      <c r="T66" s="32"/>
      <c r="U66" s="32"/>
      <c r="V66" s="32"/>
      <c r="W66" s="32"/>
      <c r="X66" s="32"/>
    </row>
  </sheetData>
  <dataValidations>
    <dataValidation type="list" allowBlank="1" showErrorMessage="1" sqref="H2:H45">
      <formula1>people</formula1>
    </dataValidation>
    <dataValidation type="list" allowBlank="1" showErrorMessage="1" sqref="F46:F66">
      <formula1>status</formula1>
    </dataValidation>
    <dataValidation type="custom" allowBlank="1" showDropDown="1" sqref="J2:J45">
      <formula1>OR(NOT(ISERROR(DATEVALUE(J2))), AND(ISNUMBER(J2), LEFT(CELL("format", J2))="D"))</formula1>
    </dataValidation>
    <dataValidation type="list" allowBlank="1" showErrorMessage="1" sqref="K2:K45">
      <formula1>#REF!</formula1>
    </dataValidation>
    <dataValidation type="list" allowBlank="1" showErrorMessage="1" sqref="L2:M45">
      <formula1>depts</formula1>
    </dataValidation>
    <dataValidation type="list" allowBlank="1" showErrorMessage="1" sqref="B2:B66">
      <formula1>dept_objs_finance</formula1>
    </dataValidation>
    <dataValidation type="list" allowBlank="1" showErrorMessage="1" sqref="G46:G66">
      <formula1>priority</formula1>
    </dataValidation>
    <dataValidation type="list" allowBlank="1" showErrorMessage="1" sqref="L46:M66">
      <formula1>partners</formula1>
    </dataValidation>
    <dataValidation type="list" allowBlank="1" showErrorMessage="1" sqref="H46:H66">
      <formula1>people</formula1>
    </dataValidation>
    <dataValidation type="list" allowBlank="1" showErrorMessage="1" sqref="G2:G45">
      <formula1>#REF!</formula1>
    </dataValidation>
    <dataValidation type="list" allowBlank="1" showErrorMessage="1" sqref="F2:F45">
      <formula1>#REF!</formula1>
    </dataValidation>
    <dataValidation type="list" allowBlank="1" showErrorMessage="1" sqref="K46:K66">
      <formula1>quarters</formula1>
    </dataValidation>
    <dataValidation type="list" allowBlank="1" showErrorMessage="1" sqref="A2:A66">
      <formula1>strategic_goals</formula1>
    </dataValidation>
    <dataValidation type="list" allowBlank="1" showErrorMessage="1" sqref="C2:C66">
      <formula1>focus_areas</formula1>
    </dataValidation>
    <dataValidation type="custom" allowBlank="1" showDropDown="1" sqref="J46:J66">
      <formula1>OR(NOT(ISERROR(DATEVALUE(J46))), AND(ISNUMBER(J46), LEFT(CELL("format", J46))="D"))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38"/>
    <col customWidth="1" min="2" max="2" width="28.38"/>
    <col customWidth="1" min="3" max="3" width="28.25"/>
    <col customWidth="1" min="4" max="4" width="23.63"/>
    <col customWidth="1" min="15" max="15" width="69.5"/>
  </cols>
  <sheetData>
    <row r="1">
      <c r="A1" s="155" t="s">
        <v>215</v>
      </c>
      <c r="B1" s="156" t="s">
        <v>216</v>
      </c>
      <c r="C1" s="157" t="s">
        <v>217</v>
      </c>
      <c r="D1" s="158" t="s">
        <v>218</v>
      </c>
      <c r="E1" s="157" t="s">
        <v>219</v>
      </c>
      <c r="F1" s="156" t="s">
        <v>220</v>
      </c>
      <c r="G1" s="156" t="s">
        <v>221</v>
      </c>
      <c r="H1" s="158" t="s">
        <v>222</v>
      </c>
      <c r="I1" s="157" t="s">
        <v>223</v>
      </c>
      <c r="J1" s="159" t="s">
        <v>224</v>
      </c>
      <c r="K1" s="156" t="s">
        <v>225</v>
      </c>
      <c r="L1" s="156" t="s">
        <v>226</v>
      </c>
      <c r="M1" s="156" t="s">
        <v>227</v>
      </c>
      <c r="N1" s="156" t="s">
        <v>228</v>
      </c>
      <c r="O1" s="158" t="s">
        <v>229</v>
      </c>
    </row>
    <row r="2">
      <c r="A2" s="160" t="s">
        <v>199</v>
      </c>
      <c r="B2" s="160" t="s">
        <v>12</v>
      </c>
      <c r="C2" s="161" t="s">
        <v>12</v>
      </c>
      <c r="D2" s="162" t="s">
        <v>675</v>
      </c>
      <c r="E2" s="163" t="s">
        <v>676</v>
      </c>
      <c r="F2" s="164" t="s">
        <v>180</v>
      </c>
      <c r="G2" s="164" t="s">
        <v>175</v>
      </c>
      <c r="H2" s="164" t="s">
        <v>203</v>
      </c>
      <c r="I2" s="164"/>
      <c r="J2" s="165" t="s">
        <v>677</v>
      </c>
      <c r="K2" s="165" t="s">
        <v>182</v>
      </c>
      <c r="L2" s="164"/>
      <c r="M2" s="165" t="s">
        <v>3</v>
      </c>
      <c r="N2" s="166"/>
      <c r="O2" s="167"/>
    </row>
    <row r="3">
      <c r="A3" s="160" t="s">
        <v>199</v>
      </c>
      <c r="B3" s="160" t="s">
        <v>12</v>
      </c>
      <c r="C3" s="161" t="s">
        <v>12</v>
      </c>
      <c r="D3" s="162" t="s">
        <v>678</v>
      </c>
      <c r="E3" s="163" t="s">
        <v>676</v>
      </c>
      <c r="F3" s="164" t="s">
        <v>180</v>
      </c>
      <c r="G3" s="164" t="s">
        <v>175</v>
      </c>
      <c r="H3" s="164" t="s">
        <v>203</v>
      </c>
      <c r="I3" s="164"/>
      <c r="J3" s="165" t="s">
        <v>677</v>
      </c>
      <c r="K3" s="165" t="s">
        <v>187</v>
      </c>
      <c r="L3" s="164"/>
      <c r="M3" s="165" t="s">
        <v>3</v>
      </c>
      <c r="N3" s="166"/>
      <c r="O3" s="167"/>
    </row>
    <row r="4">
      <c r="A4" s="160" t="s">
        <v>199</v>
      </c>
      <c r="B4" s="160" t="s">
        <v>12</v>
      </c>
      <c r="C4" s="161" t="s">
        <v>12</v>
      </c>
      <c r="D4" s="162" t="s">
        <v>679</v>
      </c>
      <c r="E4" s="160"/>
      <c r="F4" s="164" t="s">
        <v>180</v>
      </c>
      <c r="G4" s="164" t="s">
        <v>175</v>
      </c>
      <c r="H4" s="164" t="s">
        <v>203</v>
      </c>
      <c r="I4" s="168"/>
      <c r="J4" s="164" t="s">
        <v>680</v>
      </c>
      <c r="K4" s="164" t="s">
        <v>177</v>
      </c>
      <c r="L4" s="168" t="s">
        <v>681</v>
      </c>
      <c r="M4" s="164" t="s">
        <v>9</v>
      </c>
      <c r="N4" s="166">
        <v>20000.0</v>
      </c>
      <c r="O4" s="167" t="s">
        <v>682</v>
      </c>
    </row>
    <row r="5">
      <c r="A5" s="160" t="s">
        <v>199</v>
      </c>
      <c r="B5" s="160" t="s">
        <v>12</v>
      </c>
      <c r="C5" s="161" t="s">
        <v>136</v>
      </c>
      <c r="D5" s="162" t="s">
        <v>683</v>
      </c>
      <c r="E5" s="160"/>
      <c r="F5" s="164"/>
      <c r="G5" s="164"/>
      <c r="H5" s="164"/>
      <c r="I5" s="164"/>
      <c r="J5" s="164"/>
      <c r="K5" s="164"/>
      <c r="L5" s="164"/>
      <c r="M5" s="164"/>
      <c r="N5" s="166"/>
      <c r="O5" s="167"/>
    </row>
    <row r="6">
      <c r="A6" s="160" t="s">
        <v>188</v>
      </c>
      <c r="B6" s="160" t="s">
        <v>18</v>
      </c>
      <c r="C6" s="161" t="s">
        <v>87</v>
      </c>
      <c r="D6" s="162" t="s">
        <v>684</v>
      </c>
      <c r="E6" s="160"/>
      <c r="F6" s="164" t="s">
        <v>185</v>
      </c>
      <c r="G6" s="164" t="s">
        <v>181</v>
      </c>
      <c r="H6" s="164" t="s">
        <v>203</v>
      </c>
      <c r="I6" s="164"/>
      <c r="J6" s="164" t="s">
        <v>685</v>
      </c>
      <c r="K6" s="164" t="s">
        <v>177</v>
      </c>
      <c r="L6" s="164"/>
      <c r="M6" s="164" t="s">
        <v>176</v>
      </c>
      <c r="N6" s="166">
        <v>13000.0</v>
      </c>
      <c r="O6" s="167" t="s">
        <v>686</v>
      </c>
    </row>
    <row r="7">
      <c r="A7" s="160" t="s">
        <v>188</v>
      </c>
      <c r="B7" s="160" t="s">
        <v>18</v>
      </c>
      <c r="C7" s="161" t="s">
        <v>87</v>
      </c>
      <c r="D7" s="162" t="s">
        <v>687</v>
      </c>
      <c r="E7" s="163" t="s">
        <v>688</v>
      </c>
      <c r="F7" s="164" t="s">
        <v>185</v>
      </c>
      <c r="G7" s="164" t="s">
        <v>181</v>
      </c>
      <c r="H7" s="164" t="s">
        <v>203</v>
      </c>
      <c r="I7" s="164"/>
      <c r="J7" s="164" t="s">
        <v>685</v>
      </c>
      <c r="K7" s="164" t="s">
        <v>177</v>
      </c>
      <c r="L7" s="164"/>
      <c r="M7" s="164" t="s">
        <v>176</v>
      </c>
      <c r="N7" s="166"/>
      <c r="O7" s="167" t="s">
        <v>686</v>
      </c>
    </row>
    <row r="8">
      <c r="A8" s="160" t="s">
        <v>188</v>
      </c>
      <c r="B8" s="160" t="s">
        <v>18</v>
      </c>
      <c r="C8" s="161" t="s">
        <v>87</v>
      </c>
      <c r="D8" s="162" t="s">
        <v>689</v>
      </c>
      <c r="E8" s="163" t="s">
        <v>690</v>
      </c>
      <c r="F8" s="164" t="s">
        <v>185</v>
      </c>
      <c r="G8" s="164" t="s">
        <v>181</v>
      </c>
      <c r="H8" s="164" t="s">
        <v>203</v>
      </c>
      <c r="I8" s="164"/>
      <c r="J8" s="164" t="s">
        <v>685</v>
      </c>
      <c r="K8" s="164" t="s">
        <v>177</v>
      </c>
      <c r="L8" s="164"/>
      <c r="M8" s="164" t="s">
        <v>176</v>
      </c>
      <c r="N8" s="166"/>
      <c r="O8" s="167" t="s">
        <v>686</v>
      </c>
    </row>
    <row r="9">
      <c r="A9" s="163" t="s">
        <v>199</v>
      </c>
      <c r="B9" s="160" t="s">
        <v>25</v>
      </c>
      <c r="C9" s="160" t="s">
        <v>25</v>
      </c>
      <c r="D9" s="162" t="s">
        <v>691</v>
      </c>
      <c r="E9" s="160"/>
      <c r="F9" s="164" t="s">
        <v>180</v>
      </c>
      <c r="G9" s="164" t="s">
        <v>175</v>
      </c>
      <c r="H9" s="164" t="s">
        <v>203</v>
      </c>
      <c r="I9" s="164"/>
      <c r="J9" s="164" t="s">
        <v>680</v>
      </c>
      <c r="K9" s="164" t="s">
        <v>177</v>
      </c>
      <c r="L9" s="164"/>
      <c r="M9" s="164" t="s">
        <v>176</v>
      </c>
      <c r="N9" s="164" t="s">
        <v>692</v>
      </c>
      <c r="O9" s="167" t="s">
        <v>693</v>
      </c>
    </row>
    <row r="10">
      <c r="A10" s="163" t="s">
        <v>199</v>
      </c>
      <c r="B10" s="160" t="s">
        <v>25</v>
      </c>
      <c r="C10" s="160" t="s">
        <v>25</v>
      </c>
      <c r="D10" s="162" t="s">
        <v>694</v>
      </c>
      <c r="E10" s="160"/>
      <c r="F10" s="164"/>
      <c r="G10" s="164"/>
      <c r="H10" s="164"/>
      <c r="I10" s="164"/>
      <c r="J10" s="164"/>
      <c r="K10" s="164"/>
      <c r="L10" s="164"/>
      <c r="M10" s="164"/>
      <c r="N10" s="164"/>
      <c r="O10" s="167"/>
    </row>
    <row r="11">
      <c r="A11" s="160" t="s">
        <v>196</v>
      </c>
      <c r="B11" s="160" t="s">
        <v>33</v>
      </c>
      <c r="C11" s="161" t="s">
        <v>95</v>
      </c>
      <c r="D11" s="162" t="s">
        <v>695</v>
      </c>
      <c r="E11" s="160"/>
      <c r="F11" s="164" t="s">
        <v>180</v>
      </c>
      <c r="G11" s="164" t="s">
        <v>186</v>
      </c>
      <c r="H11" s="164" t="s">
        <v>203</v>
      </c>
      <c r="I11" s="164"/>
      <c r="J11" s="164" t="s">
        <v>685</v>
      </c>
      <c r="K11" s="164" t="s">
        <v>187</v>
      </c>
      <c r="L11" s="164"/>
      <c r="M11" s="164" t="s">
        <v>176</v>
      </c>
      <c r="N11" s="166">
        <v>100000.0</v>
      </c>
      <c r="O11" s="167" t="s">
        <v>696</v>
      </c>
    </row>
    <row r="12">
      <c r="A12" s="160" t="s">
        <v>183</v>
      </c>
      <c r="B12" s="160" t="s">
        <v>41</v>
      </c>
      <c r="C12" s="160" t="s">
        <v>41</v>
      </c>
      <c r="D12" s="162" t="s">
        <v>697</v>
      </c>
      <c r="E12" s="160"/>
      <c r="F12" s="164" t="s">
        <v>185</v>
      </c>
      <c r="G12" s="164" t="s">
        <v>181</v>
      </c>
      <c r="H12" s="164" t="s">
        <v>203</v>
      </c>
      <c r="I12" s="164"/>
      <c r="J12" s="164" t="s">
        <v>680</v>
      </c>
      <c r="K12" s="164" t="s">
        <v>182</v>
      </c>
      <c r="L12" s="164"/>
      <c r="M12" s="164" t="s">
        <v>1</v>
      </c>
      <c r="N12" s="164">
        <v>5000.0</v>
      </c>
      <c r="O12" s="167" t="s">
        <v>698</v>
      </c>
    </row>
    <row r="13">
      <c r="A13" s="160" t="s">
        <v>183</v>
      </c>
      <c r="B13" s="160" t="s">
        <v>41</v>
      </c>
      <c r="C13" s="160" t="s">
        <v>41</v>
      </c>
      <c r="D13" s="162" t="s">
        <v>699</v>
      </c>
      <c r="E13" s="160"/>
      <c r="F13" s="164" t="s">
        <v>185</v>
      </c>
      <c r="G13" s="164" t="s">
        <v>181</v>
      </c>
      <c r="H13" s="164" t="s">
        <v>203</v>
      </c>
      <c r="I13" s="164"/>
      <c r="J13" s="164" t="s">
        <v>680</v>
      </c>
      <c r="K13" s="164" t="s">
        <v>182</v>
      </c>
      <c r="L13" s="164"/>
      <c r="M13" s="164" t="s">
        <v>1</v>
      </c>
      <c r="N13" s="164">
        <v>5000.0</v>
      </c>
      <c r="O13" s="167" t="s">
        <v>698</v>
      </c>
    </row>
    <row r="14">
      <c r="A14" s="163" t="s">
        <v>199</v>
      </c>
      <c r="B14" s="163" t="s">
        <v>48</v>
      </c>
      <c r="C14" s="163" t="s">
        <v>48</v>
      </c>
      <c r="D14" s="162" t="s">
        <v>700</v>
      </c>
      <c r="E14" s="160"/>
      <c r="F14" s="164" t="s">
        <v>180</v>
      </c>
      <c r="G14" s="164" t="s">
        <v>175</v>
      </c>
      <c r="H14" s="164" t="s">
        <v>203</v>
      </c>
      <c r="I14" s="164"/>
      <c r="J14" s="164" t="s">
        <v>680</v>
      </c>
      <c r="K14" s="164" t="s">
        <v>177</v>
      </c>
      <c r="L14" s="164"/>
      <c r="M14" s="164" t="s">
        <v>176</v>
      </c>
      <c r="N14" s="164" t="s">
        <v>692</v>
      </c>
      <c r="O14" s="167" t="s">
        <v>701</v>
      </c>
    </row>
    <row r="15">
      <c r="A15" s="163" t="s">
        <v>199</v>
      </c>
      <c r="B15" s="163" t="s">
        <v>48</v>
      </c>
      <c r="C15" s="163" t="s">
        <v>48</v>
      </c>
      <c r="D15" s="162" t="s">
        <v>702</v>
      </c>
      <c r="E15" s="160"/>
      <c r="F15" s="164"/>
      <c r="G15" s="164"/>
      <c r="H15" s="164" t="s">
        <v>203</v>
      </c>
      <c r="I15" s="164"/>
      <c r="J15" s="164"/>
      <c r="K15" s="164"/>
      <c r="L15" s="164"/>
      <c r="M15" s="164"/>
      <c r="N15" s="164"/>
      <c r="O15" s="167"/>
    </row>
    <row r="16">
      <c r="A16" s="160" t="s">
        <v>199</v>
      </c>
      <c r="B16" s="160" t="s">
        <v>56</v>
      </c>
      <c r="C16" s="161" t="s">
        <v>106</v>
      </c>
      <c r="D16" s="162" t="s">
        <v>703</v>
      </c>
      <c r="E16" s="160"/>
      <c r="F16" s="164" t="s">
        <v>180</v>
      </c>
      <c r="G16" s="164" t="s">
        <v>181</v>
      </c>
      <c r="H16" s="164" t="s">
        <v>203</v>
      </c>
      <c r="I16" s="164"/>
      <c r="J16" s="164" t="s">
        <v>704</v>
      </c>
      <c r="K16" s="164" t="s">
        <v>182</v>
      </c>
      <c r="L16" s="164"/>
      <c r="M16" s="164" t="s">
        <v>705</v>
      </c>
      <c r="N16" s="166">
        <v>500000.0</v>
      </c>
      <c r="O16" s="167" t="s">
        <v>706</v>
      </c>
    </row>
    <row r="17">
      <c r="A17" s="160" t="s">
        <v>199</v>
      </c>
      <c r="B17" s="160" t="s">
        <v>56</v>
      </c>
      <c r="C17" s="161" t="s">
        <v>106</v>
      </c>
      <c r="D17" s="162" t="s">
        <v>707</v>
      </c>
      <c r="E17" s="160"/>
      <c r="F17" s="164"/>
      <c r="G17" s="164"/>
      <c r="H17" s="164" t="s">
        <v>203</v>
      </c>
      <c r="I17" s="164"/>
      <c r="J17" s="164"/>
      <c r="K17" s="164"/>
      <c r="L17" s="164"/>
      <c r="M17" s="164"/>
      <c r="N17" s="166"/>
      <c r="O17" s="167"/>
    </row>
    <row r="18">
      <c r="A18" s="160" t="s">
        <v>199</v>
      </c>
      <c r="B18" s="160" t="s">
        <v>56</v>
      </c>
      <c r="C18" s="161" t="s">
        <v>113</v>
      </c>
      <c r="D18" s="167" t="s">
        <v>708</v>
      </c>
      <c r="E18" s="160"/>
      <c r="F18" s="164"/>
      <c r="G18" s="164"/>
      <c r="H18" s="164" t="s">
        <v>203</v>
      </c>
      <c r="I18" s="164"/>
      <c r="J18" s="169" t="s">
        <v>709</v>
      </c>
      <c r="K18" s="165" t="s">
        <v>192</v>
      </c>
      <c r="L18" s="164"/>
      <c r="M18" s="164"/>
      <c r="N18" s="170">
        <v>50000.0</v>
      </c>
      <c r="O18" s="167" t="s">
        <v>710</v>
      </c>
    </row>
    <row r="19">
      <c r="A19" s="171" t="s">
        <v>188</v>
      </c>
      <c r="B19" s="172" t="s">
        <v>18</v>
      </c>
      <c r="C19" s="173" t="s">
        <v>121</v>
      </c>
      <c r="D19" s="174" t="s">
        <v>711</v>
      </c>
      <c r="E19" s="171" t="s">
        <v>712</v>
      </c>
      <c r="F19" s="175" t="s">
        <v>174</v>
      </c>
      <c r="G19" s="175" t="s">
        <v>186</v>
      </c>
      <c r="H19" s="175" t="s">
        <v>203</v>
      </c>
      <c r="I19" s="175"/>
      <c r="J19" s="175" t="s">
        <v>713</v>
      </c>
      <c r="K19" s="175" t="s">
        <v>187</v>
      </c>
      <c r="L19" s="175"/>
      <c r="M19" s="175" t="s">
        <v>9</v>
      </c>
      <c r="N19" s="175" t="s">
        <v>609</v>
      </c>
      <c r="O19" s="176" t="s">
        <v>714</v>
      </c>
      <c r="P19" s="177"/>
      <c r="Q19" s="177"/>
      <c r="R19" s="177"/>
      <c r="S19" s="177"/>
      <c r="T19" s="177"/>
      <c r="U19" s="177"/>
      <c r="V19" s="177"/>
      <c r="W19" s="177"/>
      <c r="X19" s="177"/>
      <c r="Y19" s="177"/>
      <c r="Z19" s="177"/>
      <c r="AA19" s="177"/>
      <c r="AB19" s="177"/>
      <c r="AC19" s="177"/>
    </row>
    <row r="20">
      <c r="A20" s="171" t="s">
        <v>188</v>
      </c>
      <c r="B20" s="172" t="s">
        <v>18</v>
      </c>
      <c r="C20" s="173" t="s">
        <v>121</v>
      </c>
      <c r="D20" s="174" t="s">
        <v>715</v>
      </c>
      <c r="E20" s="171" t="s">
        <v>712</v>
      </c>
      <c r="F20" s="175" t="s">
        <v>174</v>
      </c>
      <c r="G20" s="175" t="s">
        <v>186</v>
      </c>
      <c r="H20" s="175" t="s">
        <v>203</v>
      </c>
      <c r="I20" s="175"/>
      <c r="J20" s="175" t="s">
        <v>713</v>
      </c>
      <c r="K20" s="175" t="s">
        <v>187</v>
      </c>
      <c r="L20" s="175"/>
      <c r="M20" s="175" t="s">
        <v>9</v>
      </c>
      <c r="N20" s="175" t="s">
        <v>609</v>
      </c>
      <c r="O20" s="176" t="s">
        <v>714</v>
      </c>
      <c r="P20" s="177"/>
      <c r="Q20" s="177"/>
      <c r="R20" s="177"/>
      <c r="S20" s="177"/>
      <c r="T20" s="177"/>
      <c r="U20" s="177"/>
      <c r="V20" s="177"/>
      <c r="W20" s="177"/>
      <c r="X20" s="177"/>
      <c r="Y20" s="177"/>
      <c r="Z20" s="177"/>
      <c r="AA20" s="177"/>
      <c r="AB20" s="177"/>
      <c r="AC20" s="177"/>
    </row>
    <row r="21">
      <c r="A21" s="171" t="s">
        <v>188</v>
      </c>
      <c r="B21" s="172" t="s">
        <v>18</v>
      </c>
      <c r="C21" s="173" t="s">
        <v>121</v>
      </c>
      <c r="D21" s="174" t="s">
        <v>716</v>
      </c>
      <c r="E21" s="171" t="s">
        <v>712</v>
      </c>
      <c r="F21" s="175" t="s">
        <v>174</v>
      </c>
      <c r="G21" s="175" t="s">
        <v>186</v>
      </c>
      <c r="H21" s="175" t="s">
        <v>203</v>
      </c>
      <c r="I21" s="175"/>
      <c r="J21" s="175" t="s">
        <v>713</v>
      </c>
      <c r="K21" s="175" t="s">
        <v>187</v>
      </c>
      <c r="L21" s="175"/>
      <c r="M21" s="178" t="s">
        <v>176</v>
      </c>
      <c r="N21" s="175" t="s">
        <v>609</v>
      </c>
      <c r="O21" s="176" t="s">
        <v>714</v>
      </c>
      <c r="P21" s="177"/>
      <c r="Q21" s="177"/>
      <c r="R21" s="177"/>
      <c r="S21" s="177"/>
      <c r="T21" s="177"/>
      <c r="U21" s="177"/>
      <c r="V21" s="177"/>
      <c r="W21" s="177"/>
      <c r="X21" s="177"/>
      <c r="Y21" s="177"/>
      <c r="Z21" s="177"/>
      <c r="AA21" s="177"/>
      <c r="AB21" s="177"/>
      <c r="AC21" s="177"/>
    </row>
    <row r="22">
      <c r="A22" s="160" t="s">
        <v>196</v>
      </c>
      <c r="B22" s="163" t="s">
        <v>67</v>
      </c>
      <c r="C22" s="163" t="s">
        <v>129</v>
      </c>
      <c r="D22" s="162" t="s">
        <v>717</v>
      </c>
      <c r="E22" s="160"/>
      <c r="F22" s="164" t="s">
        <v>174</v>
      </c>
      <c r="G22" s="164" t="s">
        <v>186</v>
      </c>
      <c r="H22" s="164" t="s">
        <v>203</v>
      </c>
      <c r="I22" s="164"/>
      <c r="J22" s="164" t="s">
        <v>718</v>
      </c>
      <c r="K22" s="164" t="s">
        <v>187</v>
      </c>
      <c r="L22" s="164"/>
      <c r="M22" s="164" t="s">
        <v>719</v>
      </c>
      <c r="N22" s="164" t="s">
        <v>609</v>
      </c>
      <c r="O22" s="167" t="s">
        <v>720</v>
      </c>
    </row>
    <row r="23">
      <c r="A23" s="171" t="s">
        <v>199</v>
      </c>
      <c r="B23" s="171" t="s">
        <v>72</v>
      </c>
      <c r="C23" s="171" t="s">
        <v>72</v>
      </c>
      <c r="D23" s="174" t="s">
        <v>721</v>
      </c>
      <c r="E23" s="171" t="s">
        <v>524</v>
      </c>
      <c r="F23" s="175" t="s">
        <v>174</v>
      </c>
      <c r="G23" s="175" t="s">
        <v>191</v>
      </c>
      <c r="H23" s="175" t="s">
        <v>203</v>
      </c>
      <c r="I23" s="175"/>
      <c r="J23" s="175" t="s">
        <v>722</v>
      </c>
      <c r="K23" s="175" t="s">
        <v>192</v>
      </c>
      <c r="L23" s="175"/>
      <c r="M23" s="175" t="s">
        <v>9</v>
      </c>
      <c r="N23" s="175" t="s">
        <v>609</v>
      </c>
      <c r="O23" s="176" t="s">
        <v>723</v>
      </c>
      <c r="P23" s="177"/>
      <c r="Q23" s="177"/>
      <c r="R23" s="177"/>
      <c r="S23" s="177"/>
      <c r="T23" s="177"/>
      <c r="U23" s="177"/>
      <c r="V23" s="177"/>
      <c r="W23" s="177"/>
      <c r="X23" s="177"/>
      <c r="Y23" s="177"/>
      <c r="Z23" s="177"/>
      <c r="AA23" s="177"/>
      <c r="AB23" s="177"/>
      <c r="AC23" s="177"/>
    </row>
    <row r="24">
      <c r="A24" s="179" t="s">
        <v>183</v>
      </c>
      <c r="B24" s="179" t="s">
        <v>56</v>
      </c>
      <c r="C24" s="180" t="s">
        <v>724</v>
      </c>
      <c r="D24" s="181" t="s">
        <v>725</v>
      </c>
      <c r="E24" s="179"/>
      <c r="F24" s="182" t="s">
        <v>180</v>
      </c>
      <c r="G24" s="182" t="s">
        <v>181</v>
      </c>
      <c r="H24" s="182" t="s">
        <v>203</v>
      </c>
      <c r="I24" s="182"/>
      <c r="J24" s="182" t="s">
        <v>709</v>
      </c>
      <c r="K24" s="182" t="s">
        <v>177</v>
      </c>
      <c r="L24" s="182"/>
      <c r="M24" s="182" t="s">
        <v>176</v>
      </c>
      <c r="N24" s="182" t="s">
        <v>692</v>
      </c>
      <c r="O24" s="181" t="s">
        <v>726</v>
      </c>
      <c r="P24" s="183"/>
      <c r="Q24" s="183"/>
      <c r="R24" s="183"/>
      <c r="S24" s="183"/>
      <c r="T24" s="183"/>
      <c r="U24" s="183"/>
      <c r="V24" s="183"/>
      <c r="W24" s="183"/>
      <c r="X24" s="183"/>
      <c r="Y24" s="183"/>
      <c r="Z24" s="183"/>
      <c r="AA24" s="183"/>
      <c r="AB24" s="183"/>
      <c r="AC24" s="183"/>
    </row>
    <row r="25">
      <c r="A25" s="3"/>
      <c r="B25" s="3"/>
      <c r="C25" s="3"/>
      <c r="D25" s="184"/>
      <c r="I25" s="3"/>
      <c r="K25" s="3"/>
      <c r="L25" s="3"/>
      <c r="M25" s="3"/>
      <c r="O25" s="184"/>
    </row>
    <row r="26">
      <c r="A26" s="3"/>
      <c r="B26" s="3"/>
      <c r="C26" s="3"/>
      <c r="D26" s="184"/>
      <c r="I26" s="3"/>
      <c r="K26" s="3"/>
      <c r="L26" s="3"/>
      <c r="M26" s="3"/>
      <c r="O26" s="184"/>
    </row>
    <row r="27">
      <c r="A27" s="3"/>
      <c r="B27" s="3"/>
      <c r="C27" s="3"/>
      <c r="D27" s="184"/>
      <c r="I27" s="3"/>
      <c r="K27" s="3"/>
      <c r="L27" s="3"/>
      <c r="M27" s="3"/>
      <c r="O27" s="184"/>
    </row>
    <row r="28">
      <c r="A28" s="3"/>
      <c r="B28" s="3"/>
      <c r="C28" s="3"/>
      <c r="D28" s="184"/>
      <c r="I28" s="3"/>
      <c r="K28" s="3"/>
      <c r="L28" s="3"/>
      <c r="M28" s="3"/>
      <c r="O28" s="184"/>
    </row>
    <row r="29">
      <c r="A29" s="3"/>
      <c r="B29" s="3"/>
      <c r="C29" s="3"/>
      <c r="D29" s="184"/>
      <c r="I29" s="3"/>
      <c r="K29" s="3"/>
      <c r="L29" s="3"/>
      <c r="M29" s="3"/>
      <c r="O29" s="184"/>
    </row>
    <row r="30">
      <c r="A30" s="3"/>
      <c r="B30" s="3"/>
      <c r="C30" s="3"/>
      <c r="D30" s="184"/>
      <c r="I30" s="3"/>
      <c r="K30" s="3"/>
      <c r="L30" s="3"/>
      <c r="M30" s="3"/>
      <c r="O30" s="184"/>
    </row>
    <row r="31">
      <c r="A31" s="3"/>
      <c r="B31" s="3"/>
      <c r="C31" s="3"/>
      <c r="D31" s="184"/>
      <c r="I31" s="3"/>
      <c r="K31" s="3"/>
      <c r="L31" s="3"/>
      <c r="M31" s="3"/>
      <c r="O31" s="184"/>
    </row>
    <row r="32">
      <c r="A32" s="3"/>
      <c r="B32" s="3"/>
      <c r="C32" s="3"/>
      <c r="D32" s="184"/>
      <c r="I32" s="3"/>
      <c r="K32" s="3"/>
      <c r="L32" s="3"/>
      <c r="M32" s="3"/>
      <c r="O32" s="184"/>
    </row>
    <row r="33">
      <c r="A33" s="3"/>
      <c r="B33" s="3"/>
      <c r="C33" s="3"/>
      <c r="D33" s="184"/>
      <c r="I33" s="3"/>
      <c r="K33" s="3"/>
      <c r="L33" s="3"/>
      <c r="M33" s="3"/>
      <c r="O33" s="184"/>
    </row>
    <row r="34">
      <c r="A34" s="3"/>
      <c r="B34" s="3"/>
      <c r="C34" s="3"/>
      <c r="D34" s="184"/>
      <c r="I34" s="3"/>
      <c r="K34" s="3"/>
      <c r="L34" s="3"/>
      <c r="M34" s="3"/>
      <c r="O34" s="184"/>
    </row>
    <row r="35">
      <c r="A35" s="3"/>
      <c r="B35" s="3"/>
      <c r="C35" s="3"/>
      <c r="D35" s="184"/>
      <c r="I35" s="3"/>
      <c r="K35" s="3"/>
      <c r="L35" s="3"/>
      <c r="M35" s="3"/>
      <c r="O35" s="184"/>
    </row>
    <row r="36">
      <c r="A36" s="3"/>
      <c r="B36" s="3"/>
      <c r="C36" s="3"/>
      <c r="D36" s="184"/>
      <c r="I36" s="3"/>
      <c r="K36" s="3"/>
      <c r="L36" s="3"/>
      <c r="M36" s="3"/>
      <c r="O36" s="184"/>
    </row>
    <row r="37">
      <c r="A37" s="3"/>
      <c r="B37" s="3"/>
      <c r="C37" s="3"/>
      <c r="D37" s="184"/>
      <c r="I37" s="3"/>
      <c r="K37" s="3"/>
      <c r="L37" s="3"/>
      <c r="M37" s="3"/>
      <c r="O37" s="184"/>
    </row>
    <row r="38">
      <c r="A38" s="3"/>
      <c r="B38" s="3"/>
      <c r="C38" s="3"/>
      <c r="D38" s="184"/>
      <c r="I38" s="3"/>
      <c r="K38" s="3"/>
      <c r="L38" s="3"/>
      <c r="M38" s="3"/>
      <c r="O38" s="184"/>
    </row>
    <row r="39">
      <c r="A39" s="3"/>
      <c r="B39" s="3"/>
      <c r="C39" s="3"/>
      <c r="D39" s="184"/>
      <c r="I39" s="3"/>
      <c r="K39" s="3"/>
      <c r="L39" s="3"/>
      <c r="M39" s="3"/>
      <c r="O39" s="184"/>
    </row>
    <row r="40">
      <c r="A40" s="3"/>
      <c r="B40" s="3"/>
      <c r="C40" s="3"/>
      <c r="D40" s="184"/>
      <c r="I40" s="3"/>
      <c r="K40" s="3"/>
      <c r="L40" s="3"/>
      <c r="M40" s="3"/>
      <c r="O40" s="184"/>
    </row>
    <row r="41">
      <c r="A41" s="3"/>
      <c r="B41" s="3"/>
      <c r="C41" s="3"/>
      <c r="D41" s="184"/>
      <c r="I41" s="3"/>
      <c r="K41" s="3"/>
      <c r="L41" s="3"/>
      <c r="M41" s="3"/>
      <c r="O41" s="184"/>
    </row>
    <row r="42">
      <c r="A42" s="3"/>
      <c r="B42" s="3"/>
      <c r="C42" s="3"/>
      <c r="D42" s="184"/>
      <c r="I42" s="3"/>
      <c r="K42" s="3"/>
      <c r="L42" s="3"/>
      <c r="M42" s="3"/>
      <c r="O42" s="184"/>
    </row>
    <row r="43">
      <c r="A43" s="3"/>
      <c r="B43" s="3"/>
      <c r="C43" s="3"/>
      <c r="D43" s="184"/>
      <c r="I43" s="3"/>
      <c r="K43" s="3"/>
      <c r="L43" s="3"/>
      <c r="M43" s="3"/>
      <c r="O43" s="184"/>
    </row>
    <row r="44">
      <c r="A44" s="3"/>
      <c r="B44" s="3"/>
      <c r="C44" s="3"/>
      <c r="D44" s="184"/>
      <c r="I44" s="3"/>
      <c r="K44" s="3"/>
      <c r="L44" s="3"/>
      <c r="M44" s="3"/>
      <c r="O44" s="184"/>
    </row>
    <row r="45">
      <c r="A45" s="3"/>
      <c r="B45" s="3"/>
      <c r="C45" s="3"/>
      <c r="D45" s="184"/>
      <c r="I45" s="3"/>
      <c r="K45" s="3"/>
      <c r="L45" s="3"/>
      <c r="M45" s="3"/>
      <c r="O45" s="184"/>
    </row>
    <row r="46">
      <c r="A46" s="3"/>
      <c r="B46" s="3"/>
      <c r="C46" s="3"/>
      <c r="D46" s="184"/>
      <c r="I46" s="3"/>
      <c r="K46" s="3"/>
      <c r="L46" s="3"/>
      <c r="M46" s="3"/>
      <c r="O46" s="184"/>
    </row>
    <row r="47">
      <c r="A47" s="3"/>
      <c r="B47" s="3"/>
      <c r="C47" s="3"/>
      <c r="D47" s="184"/>
      <c r="I47" s="3"/>
      <c r="K47" s="3"/>
      <c r="L47" s="3"/>
      <c r="M47" s="3"/>
      <c r="O47" s="184"/>
    </row>
    <row r="48">
      <c r="A48" s="3"/>
      <c r="B48" s="3"/>
      <c r="C48" s="3"/>
      <c r="D48" s="184"/>
      <c r="I48" s="3"/>
      <c r="K48" s="3"/>
      <c r="L48" s="3"/>
      <c r="M48" s="3"/>
      <c r="O48" s="184"/>
    </row>
    <row r="49">
      <c r="A49" s="3"/>
      <c r="B49" s="3"/>
      <c r="C49" s="3"/>
      <c r="D49" s="184"/>
      <c r="I49" s="3"/>
      <c r="K49" s="3"/>
      <c r="L49" s="3"/>
      <c r="M49" s="3"/>
      <c r="O49" s="184"/>
    </row>
    <row r="50">
      <c r="A50" s="3"/>
      <c r="B50" s="3"/>
      <c r="C50" s="3"/>
      <c r="D50" s="184"/>
      <c r="I50" s="3"/>
      <c r="K50" s="3"/>
      <c r="L50" s="3"/>
      <c r="M50" s="3"/>
      <c r="O50" s="184"/>
    </row>
    <row r="51">
      <c r="A51" s="3"/>
      <c r="B51" s="3"/>
      <c r="C51" s="3"/>
      <c r="D51" s="184"/>
      <c r="I51" s="3"/>
      <c r="K51" s="3"/>
      <c r="L51" s="3"/>
      <c r="M51" s="3"/>
      <c r="O51" s="184"/>
    </row>
    <row r="52">
      <c r="A52" s="3"/>
      <c r="B52" s="3"/>
      <c r="C52" s="3"/>
      <c r="D52" s="184"/>
      <c r="I52" s="3"/>
      <c r="K52" s="3"/>
      <c r="L52" s="3"/>
      <c r="M52" s="3"/>
      <c r="O52" s="184"/>
    </row>
    <row r="53">
      <c r="A53" s="3"/>
      <c r="B53" s="3"/>
      <c r="C53" s="3"/>
      <c r="D53" s="184"/>
      <c r="I53" s="3"/>
      <c r="K53" s="3"/>
      <c r="L53" s="3"/>
      <c r="M53" s="3"/>
      <c r="O53" s="184"/>
    </row>
    <row r="54">
      <c r="A54" s="3"/>
      <c r="B54" s="3"/>
      <c r="C54" s="3"/>
      <c r="D54" s="184"/>
      <c r="I54" s="3"/>
      <c r="K54" s="3"/>
      <c r="L54" s="3"/>
      <c r="M54" s="3"/>
      <c r="O54" s="184"/>
    </row>
    <row r="55">
      <c r="A55" s="3"/>
      <c r="B55" s="3"/>
      <c r="C55" s="3"/>
      <c r="D55" s="184"/>
      <c r="I55" s="3"/>
      <c r="K55" s="3"/>
      <c r="L55" s="3"/>
      <c r="M55" s="3"/>
      <c r="O55" s="184"/>
    </row>
    <row r="56">
      <c r="A56" s="3"/>
      <c r="B56" s="3"/>
      <c r="C56" s="3"/>
      <c r="D56" s="184"/>
      <c r="I56" s="3"/>
      <c r="K56" s="3"/>
      <c r="L56" s="3"/>
      <c r="M56" s="3"/>
      <c r="O56" s="184"/>
    </row>
    <row r="57">
      <c r="A57" s="3"/>
      <c r="B57" s="3"/>
      <c r="C57" s="3"/>
      <c r="D57" s="184"/>
      <c r="I57" s="3"/>
      <c r="K57" s="3"/>
      <c r="L57" s="3"/>
      <c r="M57" s="3"/>
      <c r="O57" s="184"/>
    </row>
    <row r="58">
      <c r="A58" s="3"/>
      <c r="B58" s="3"/>
      <c r="C58" s="3"/>
      <c r="D58" s="184"/>
      <c r="I58" s="3"/>
      <c r="K58" s="3"/>
      <c r="L58" s="3"/>
      <c r="M58" s="3"/>
      <c r="O58" s="184"/>
    </row>
    <row r="59">
      <c r="A59" s="3"/>
      <c r="B59" s="3"/>
      <c r="C59" s="3"/>
      <c r="D59" s="184"/>
      <c r="I59" s="3"/>
      <c r="K59" s="3"/>
      <c r="L59" s="3"/>
      <c r="M59" s="3"/>
      <c r="O59" s="184"/>
    </row>
    <row r="60">
      <c r="A60" s="3"/>
      <c r="B60" s="3"/>
      <c r="C60" s="3"/>
      <c r="D60" s="184"/>
      <c r="I60" s="3"/>
      <c r="K60" s="3"/>
      <c r="L60" s="3"/>
      <c r="M60" s="3"/>
      <c r="O60" s="184"/>
    </row>
    <row r="61">
      <c r="A61" s="3"/>
      <c r="B61" s="3"/>
      <c r="C61" s="3"/>
      <c r="D61" s="184"/>
      <c r="I61" s="3"/>
      <c r="K61" s="3"/>
      <c r="L61" s="3"/>
      <c r="M61" s="3"/>
      <c r="O61" s="184"/>
    </row>
    <row r="62">
      <c r="A62" s="3"/>
      <c r="B62" s="3"/>
      <c r="C62" s="3"/>
      <c r="D62" s="184"/>
      <c r="I62" s="3"/>
      <c r="K62" s="3"/>
      <c r="L62" s="3"/>
      <c r="M62" s="3"/>
      <c r="O62" s="184"/>
    </row>
    <row r="63">
      <c r="A63" s="3"/>
      <c r="B63" s="3"/>
      <c r="C63" s="3"/>
      <c r="D63" s="184"/>
      <c r="I63" s="3"/>
      <c r="K63" s="3"/>
      <c r="L63" s="3"/>
      <c r="M63" s="3"/>
      <c r="O63" s="184"/>
    </row>
    <row r="64">
      <c r="A64" s="3"/>
      <c r="B64" s="3"/>
      <c r="C64" s="3"/>
      <c r="D64" s="184"/>
      <c r="I64" s="3"/>
      <c r="K64" s="3"/>
      <c r="L64" s="3"/>
      <c r="M64" s="3"/>
      <c r="O64" s="184"/>
    </row>
    <row r="65">
      <c r="A65" s="3"/>
      <c r="B65" s="3"/>
      <c r="C65" s="3"/>
      <c r="D65" s="184"/>
      <c r="I65" s="3"/>
      <c r="K65" s="3"/>
      <c r="L65" s="3"/>
      <c r="M65" s="3"/>
      <c r="O65" s="184"/>
    </row>
    <row r="66">
      <c r="A66" s="3"/>
      <c r="B66" s="3"/>
      <c r="C66" s="3"/>
      <c r="D66" s="184"/>
      <c r="I66" s="3"/>
      <c r="K66" s="3"/>
      <c r="L66" s="3"/>
      <c r="M66" s="3"/>
      <c r="O66" s="184"/>
    </row>
    <row r="67">
      <c r="A67" s="3"/>
      <c r="B67" s="3"/>
      <c r="C67" s="3"/>
      <c r="D67" s="184"/>
      <c r="I67" s="3"/>
      <c r="K67" s="3"/>
      <c r="L67" s="3"/>
      <c r="M67" s="3"/>
      <c r="O67" s="184"/>
    </row>
    <row r="68">
      <c r="A68" s="3"/>
      <c r="B68" s="3"/>
      <c r="C68" s="3"/>
      <c r="D68" s="184"/>
      <c r="I68" s="3"/>
      <c r="K68" s="3"/>
      <c r="L68" s="3"/>
      <c r="M68" s="3"/>
      <c r="O68" s="184"/>
    </row>
    <row r="69">
      <c r="A69" s="3"/>
      <c r="B69" s="3"/>
      <c r="C69" s="3"/>
      <c r="D69" s="184"/>
      <c r="I69" s="3"/>
      <c r="K69" s="3"/>
      <c r="L69" s="3"/>
      <c r="M69" s="3"/>
      <c r="O69" s="184"/>
    </row>
    <row r="70">
      <c r="A70" s="3"/>
      <c r="B70" s="3"/>
      <c r="C70" s="3"/>
      <c r="D70" s="184"/>
      <c r="I70" s="3"/>
      <c r="K70" s="3"/>
      <c r="L70" s="3"/>
      <c r="M70" s="3"/>
      <c r="O70" s="184"/>
    </row>
    <row r="71">
      <c r="A71" s="3"/>
      <c r="B71" s="3"/>
      <c r="C71" s="3"/>
      <c r="D71" s="184"/>
      <c r="I71" s="3"/>
      <c r="K71" s="3"/>
      <c r="L71" s="3"/>
      <c r="M71" s="3"/>
      <c r="O71" s="184"/>
    </row>
    <row r="72">
      <c r="A72" s="3"/>
      <c r="B72" s="3"/>
      <c r="C72" s="3"/>
      <c r="D72" s="184"/>
      <c r="I72" s="3"/>
      <c r="K72" s="3"/>
      <c r="L72" s="3"/>
      <c r="M72" s="3"/>
      <c r="O72" s="184"/>
    </row>
    <row r="73">
      <c r="A73" s="3"/>
      <c r="B73" s="3"/>
      <c r="C73" s="3"/>
      <c r="D73" s="184"/>
      <c r="I73" s="3"/>
      <c r="K73" s="3"/>
      <c r="L73" s="3"/>
      <c r="M73" s="3"/>
      <c r="O73" s="184"/>
    </row>
    <row r="74">
      <c r="A74" s="3"/>
      <c r="B74" s="3"/>
      <c r="C74" s="3"/>
      <c r="D74" s="184"/>
      <c r="I74" s="3"/>
      <c r="K74" s="3"/>
      <c r="L74" s="3"/>
      <c r="M74" s="3"/>
      <c r="O74" s="184"/>
    </row>
    <row r="75">
      <c r="A75" s="3"/>
      <c r="B75" s="3"/>
      <c r="C75" s="3"/>
      <c r="D75" s="184"/>
      <c r="I75" s="3"/>
      <c r="K75" s="3"/>
      <c r="L75" s="3"/>
      <c r="M75" s="3"/>
      <c r="O75" s="184"/>
    </row>
    <row r="76">
      <c r="A76" s="3"/>
      <c r="B76" s="3"/>
      <c r="C76" s="3"/>
      <c r="D76" s="184"/>
      <c r="I76" s="3"/>
      <c r="K76" s="3"/>
      <c r="L76" s="3"/>
      <c r="M76" s="3"/>
      <c r="O76" s="184"/>
    </row>
    <row r="77">
      <c r="A77" s="3"/>
      <c r="B77" s="3"/>
      <c r="C77" s="3"/>
      <c r="D77" s="184"/>
      <c r="I77" s="3"/>
      <c r="K77" s="3"/>
      <c r="L77" s="3"/>
      <c r="M77" s="3"/>
      <c r="O77" s="184"/>
    </row>
    <row r="78">
      <c r="A78" s="3"/>
      <c r="B78" s="3"/>
      <c r="C78" s="3"/>
      <c r="D78" s="184"/>
      <c r="I78" s="3"/>
      <c r="K78" s="3"/>
      <c r="L78" s="3"/>
      <c r="M78" s="3"/>
      <c r="O78" s="184"/>
    </row>
    <row r="79">
      <c r="A79" s="3"/>
      <c r="B79" s="3"/>
      <c r="C79" s="3"/>
      <c r="D79" s="184"/>
      <c r="I79" s="3"/>
      <c r="K79" s="3"/>
      <c r="L79" s="3"/>
      <c r="M79" s="3"/>
      <c r="O79" s="184"/>
    </row>
    <row r="80">
      <c r="A80" s="3"/>
      <c r="B80" s="3"/>
      <c r="C80" s="3"/>
      <c r="D80" s="184"/>
      <c r="I80" s="3"/>
      <c r="K80" s="3"/>
      <c r="L80" s="3"/>
      <c r="M80" s="3"/>
      <c r="O80" s="184"/>
    </row>
    <row r="81">
      <c r="A81" s="3"/>
      <c r="B81" s="3"/>
      <c r="C81" s="3"/>
      <c r="D81" s="184"/>
      <c r="I81" s="3"/>
      <c r="K81" s="3"/>
      <c r="L81" s="3"/>
      <c r="M81" s="3"/>
      <c r="O81" s="184"/>
    </row>
    <row r="82">
      <c r="A82" s="3"/>
      <c r="B82" s="3"/>
      <c r="C82" s="3"/>
      <c r="D82" s="184"/>
      <c r="I82" s="3"/>
      <c r="K82" s="3"/>
      <c r="L82" s="3"/>
      <c r="M82" s="3"/>
      <c r="O82" s="184"/>
    </row>
    <row r="83">
      <c r="A83" s="3"/>
      <c r="B83" s="3"/>
      <c r="C83" s="3"/>
      <c r="D83" s="184"/>
      <c r="I83" s="3"/>
      <c r="K83" s="3"/>
      <c r="L83" s="3"/>
      <c r="M83" s="3"/>
      <c r="O83" s="184"/>
    </row>
    <row r="84">
      <c r="A84" s="3"/>
      <c r="B84" s="3"/>
      <c r="C84" s="3"/>
      <c r="D84" s="184"/>
      <c r="I84" s="3"/>
      <c r="K84" s="3"/>
      <c r="L84" s="3"/>
      <c r="M84" s="3"/>
      <c r="O84" s="184"/>
    </row>
    <row r="85">
      <c r="A85" s="3"/>
      <c r="B85" s="3"/>
      <c r="C85" s="3"/>
      <c r="D85" s="184"/>
      <c r="I85" s="3"/>
      <c r="K85" s="3"/>
      <c r="L85" s="3"/>
      <c r="M85" s="3"/>
      <c r="O85" s="184"/>
    </row>
    <row r="86">
      <c r="A86" s="3"/>
      <c r="B86" s="3"/>
      <c r="C86" s="3"/>
      <c r="D86" s="184"/>
      <c r="I86" s="3"/>
      <c r="K86" s="3"/>
      <c r="L86" s="3"/>
      <c r="M86" s="3"/>
      <c r="O86" s="184"/>
    </row>
    <row r="87">
      <c r="A87" s="3"/>
      <c r="B87" s="3"/>
      <c r="C87" s="3"/>
      <c r="D87" s="184"/>
      <c r="I87" s="3"/>
      <c r="K87" s="3"/>
      <c r="L87" s="3"/>
      <c r="M87" s="3"/>
      <c r="O87" s="184"/>
    </row>
    <row r="88">
      <c r="A88" s="3"/>
      <c r="B88" s="3"/>
      <c r="C88" s="3"/>
      <c r="D88" s="184"/>
      <c r="I88" s="3"/>
      <c r="K88" s="3"/>
      <c r="L88" s="3"/>
      <c r="M88" s="3"/>
      <c r="O88" s="184"/>
    </row>
    <row r="89">
      <c r="A89" s="3"/>
      <c r="B89" s="3"/>
      <c r="C89" s="3"/>
      <c r="D89" s="184"/>
      <c r="I89" s="3"/>
      <c r="K89" s="3"/>
      <c r="L89" s="3"/>
      <c r="M89" s="3"/>
      <c r="O89" s="184"/>
    </row>
    <row r="90">
      <c r="A90" s="3"/>
      <c r="B90" s="3"/>
      <c r="C90" s="3"/>
      <c r="D90" s="184"/>
      <c r="I90" s="3"/>
      <c r="K90" s="3"/>
      <c r="L90" s="3"/>
      <c r="M90" s="3"/>
      <c r="O90" s="184"/>
    </row>
    <row r="91">
      <c r="A91" s="3"/>
      <c r="B91" s="3"/>
      <c r="C91" s="3"/>
      <c r="D91" s="184"/>
      <c r="I91" s="3"/>
      <c r="K91" s="3"/>
      <c r="L91" s="3"/>
      <c r="M91" s="3"/>
      <c r="O91" s="184"/>
    </row>
    <row r="92">
      <c r="A92" s="3"/>
      <c r="B92" s="3"/>
      <c r="C92" s="3"/>
      <c r="D92" s="184"/>
      <c r="I92" s="3"/>
      <c r="K92" s="3"/>
      <c r="L92" s="3"/>
      <c r="M92" s="3"/>
      <c r="O92" s="184"/>
    </row>
  </sheetData>
  <dataValidations>
    <dataValidation type="list" allowBlank="1" showErrorMessage="1" sqref="I2:I92 L2:L92">
      <formula1>people</formula1>
    </dataValidation>
    <dataValidation type="list" allowBlank="1" showErrorMessage="1" sqref="F2:F24">
      <formula1>e_status</formula1>
    </dataValidation>
    <dataValidation type="list" allowBlank="1" showErrorMessage="1" sqref="C2:C92">
      <formula1>focus_areas</formula1>
    </dataValidation>
    <dataValidation type="list" allowBlank="1" showErrorMessage="1" sqref="M2:M92">
      <formula1>depts</formula1>
    </dataValidation>
    <dataValidation type="custom" allowBlank="1" showDropDown="1" sqref="J2:J24">
      <formula1>OR(NOT(ISERROR(DATEVALUE(J2))), AND(ISNUMBER(J2), LEFT(CELL("format", J2))="D"))</formula1>
    </dataValidation>
    <dataValidation type="list" allowBlank="1" showErrorMessage="1" sqref="B2:B92">
      <formula1>dept_objs_hr</formula1>
    </dataValidation>
    <dataValidation type="list" allowBlank="1" showErrorMessage="1" sqref="K2:K92">
      <formula1>quarters</formula1>
    </dataValidation>
    <dataValidation type="list" allowBlank="1" showErrorMessage="1" sqref="A2:A92">
      <formula1>strategic_goals</formula1>
    </dataValidation>
    <dataValidation type="list" allowBlank="1" showErrorMessage="1" sqref="G2:G24">
      <formula1>e_priority</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8" width="9.63"/>
  </cols>
  <sheetData>
    <row r="1">
      <c r="A1" s="185" t="s">
        <v>215</v>
      </c>
      <c r="B1" s="186" t="s">
        <v>216</v>
      </c>
      <c r="C1" s="186" t="s">
        <v>217</v>
      </c>
      <c r="D1" s="186" t="s">
        <v>218</v>
      </c>
      <c r="E1" s="186" t="s">
        <v>219</v>
      </c>
      <c r="F1" s="186" t="s">
        <v>220</v>
      </c>
      <c r="G1" s="186" t="s">
        <v>221</v>
      </c>
      <c r="H1" s="186" t="s">
        <v>222</v>
      </c>
      <c r="I1" s="187" t="s">
        <v>223</v>
      </c>
      <c r="J1" s="185" t="s">
        <v>224</v>
      </c>
      <c r="K1" s="186" t="s">
        <v>225</v>
      </c>
      <c r="L1" s="186" t="s">
        <v>226</v>
      </c>
      <c r="M1" s="186" t="s">
        <v>227</v>
      </c>
      <c r="N1" s="186" t="s">
        <v>228</v>
      </c>
      <c r="O1" s="188" t="s">
        <v>229</v>
      </c>
      <c r="P1" s="189"/>
      <c r="Q1" s="189"/>
      <c r="R1" s="189"/>
      <c r="S1" s="189"/>
      <c r="T1" s="189"/>
      <c r="U1" s="189"/>
      <c r="V1" s="189"/>
      <c r="W1" s="189"/>
      <c r="X1" s="189"/>
      <c r="Y1" s="189"/>
      <c r="Z1" s="189"/>
      <c r="AA1" s="189"/>
      <c r="AB1" s="189"/>
    </row>
    <row r="2">
      <c r="A2" s="190" t="s">
        <v>183</v>
      </c>
      <c r="B2" s="190" t="s">
        <v>14</v>
      </c>
      <c r="C2" s="191" t="s">
        <v>21</v>
      </c>
      <c r="D2" s="192" t="s">
        <v>727</v>
      </c>
      <c r="E2" s="189"/>
      <c r="F2" s="14"/>
      <c r="G2" s="14"/>
      <c r="H2" s="14"/>
      <c r="I2" s="189"/>
      <c r="J2" s="14"/>
      <c r="K2" s="14"/>
      <c r="L2" s="14"/>
      <c r="M2" s="14"/>
      <c r="N2" s="14"/>
      <c r="O2" s="193"/>
      <c r="P2" s="189"/>
      <c r="Q2" s="189"/>
      <c r="R2" s="189"/>
      <c r="S2" s="189"/>
      <c r="T2" s="189"/>
      <c r="U2" s="189"/>
      <c r="V2" s="189"/>
      <c r="W2" s="189"/>
      <c r="X2" s="189"/>
      <c r="Y2" s="189"/>
      <c r="Z2" s="189"/>
      <c r="AA2" s="189"/>
      <c r="AB2" s="189"/>
    </row>
    <row r="3">
      <c r="A3" s="194" t="s">
        <v>183</v>
      </c>
      <c r="B3" s="194" t="s">
        <v>14</v>
      </c>
      <c r="C3" s="195" t="s">
        <v>21</v>
      </c>
      <c r="D3" s="196" t="s">
        <v>728</v>
      </c>
      <c r="E3" s="197" t="s">
        <v>729</v>
      </c>
      <c r="F3" s="198"/>
      <c r="G3" s="198"/>
      <c r="H3" s="198"/>
      <c r="I3" s="198"/>
      <c r="J3" s="199"/>
      <c r="K3" s="198"/>
      <c r="L3" s="198"/>
      <c r="M3" s="198"/>
      <c r="N3" s="200"/>
      <c r="O3" s="201"/>
      <c r="P3" s="198"/>
      <c r="Q3" s="198"/>
      <c r="R3" s="198"/>
      <c r="S3" s="198"/>
      <c r="T3" s="198"/>
      <c r="U3" s="198"/>
      <c r="V3" s="198"/>
      <c r="W3" s="198"/>
      <c r="X3" s="198"/>
      <c r="Y3" s="198"/>
      <c r="Z3" s="198"/>
      <c r="AA3" s="198"/>
      <c r="AB3" s="198"/>
    </row>
    <row r="4">
      <c r="A4" s="190" t="s">
        <v>183</v>
      </c>
      <c r="B4" s="190" t="s">
        <v>14</v>
      </c>
      <c r="C4" s="191" t="s">
        <v>730</v>
      </c>
      <c r="D4" s="192" t="s">
        <v>731</v>
      </c>
      <c r="E4" s="189"/>
      <c r="F4" s="190" t="s">
        <v>190</v>
      </c>
      <c r="G4" s="190" t="s">
        <v>181</v>
      </c>
      <c r="H4" s="190" t="s">
        <v>208</v>
      </c>
      <c r="I4" s="189"/>
      <c r="J4" s="190" t="s">
        <v>732</v>
      </c>
      <c r="K4" s="190" t="s">
        <v>177</v>
      </c>
      <c r="L4" s="189"/>
      <c r="M4" s="189"/>
      <c r="N4" s="202"/>
      <c r="O4" s="193"/>
      <c r="P4" s="189"/>
      <c r="Q4" s="189"/>
      <c r="R4" s="189"/>
      <c r="S4" s="189"/>
      <c r="T4" s="189"/>
      <c r="U4" s="189"/>
      <c r="V4" s="189"/>
      <c r="W4" s="189"/>
      <c r="X4" s="189"/>
      <c r="Y4" s="189"/>
      <c r="Z4" s="189"/>
      <c r="AA4" s="189"/>
      <c r="AB4" s="189"/>
    </row>
    <row r="5">
      <c r="A5" s="190" t="s">
        <v>183</v>
      </c>
      <c r="B5" s="190" t="s">
        <v>14</v>
      </c>
      <c r="C5" s="191" t="s">
        <v>12</v>
      </c>
      <c r="D5" s="192" t="s">
        <v>733</v>
      </c>
      <c r="E5" s="189"/>
      <c r="F5" s="190" t="s">
        <v>180</v>
      </c>
      <c r="G5" s="190" t="s">
        <v>181</v>
      </c>
      <c r="H5" s="190" t="s">
        <v>208</v>
      </c>
      <c r="I5" s="189"/>
      <c r="J5" s="203">
        <v>46142.0</v>
      </c>
      <c r="K5" s="190" t="s">
        <v>177</v>
      </c>
      <c r="L5" s="190" t="s">
        <v>2</v>
      </c>
      <c r="M5" s="189"/>
      <c r="N5" s="202"/>
      <c r="O5" s="204" t="s">
        <v>734</v>
      </c>
      <c r="P5" s="189"/>
      <c r="Q5" s="189"/>
      <c r="R5" s="189"/>
      <c r="S5" s="189"/>
      <c r="T5" s="189"/>
      <c r="U5" s="189"/>
      <c r="V5" s="189"/>
      <c r="W5" s="189"/>
      <c r="X5" s="189"/>
      <c r="Y5" s="189"/>
      <c r="Z5" s="189"/>
      <c r="AA5" s="189"/>
      <c r="AB5" s="189"/>
    </row>
    <row r="6">
      <c r="A6" s="190" t="s">
        <v>183</v>
      </c>
      <c r="B6" s="190" t="s">
        <v>14</v>
      </c>
      <c r="C6" s="191" t="s">
        <v>28</v>
      </c>
      <c r="D6" s="190" t="s">
        <v>735</v>
      </c>
      <c r="E6" s="189"/>
      <c r="F6" s="190" t="s">
        <v>180</v>
      </c>
      <c r="G6" s="190" t="s">
        <v>181</v>
      </c>
      <c r="H6" s="190" t="s">
        <v>208</v>
      </c>
      <c r="I6" s="189"/>
      <c r="J6" s="190" t="s">
        <v>736</v>
      </c>
      <c r="K6" s="190" t="s">
        <v>182</v>
      </c>
      <c r="L6" s="190" t="s">
        <v>8</v>
      </c>
      <c r="M6" s="189"/>
      <c r="N6" s="202"/>
      <c r="O6" s="193"/>
      <c r="P6" s="189"/>
      <c r="Q6" s="189"/>
      <c r="R6" s="189"/>
      <c r="S6" s="189"/>
      <c r="T6" s="189"/>
      <c r="U6" s="189"/>
      <c r="V6" s="189"/>
      <c r="W6" s="189"/>
      <c r="X6" s="189"/>
      <c r="Y6" s="189"/>
      <c r="Z6" s="189"/>
      <c r="AA6" s="189"/>
      <c r="AB6" s="189"/>
    </row>
    <row r="7">
      <c r="A7" s="190" t="s">
        <v>183</v>
      </c>
      <c r="B7" s="192" t="s">
        <v>20</v>
      </c>
      <c r="C7" s="192" t="s">
        <v>102</v>
      </c>
      <c r="D7" s="192" t="s">
        <v>737</v>
      </c>
      <c r="E7" s="187">
        <v>7.0</v>
      </c>
      <c r="F7" s="189"/>
      <c r="G7" s="189"/>
      <c r="H7" s="190" t="s">
        <v>208</v>
      </c>
      <c r="I7" s="189"/>
      <c r="J7" s="190" t="s">
        <v>738</v>
      </c>
      <c r="K7" s="185" t="s">
        <v>182</v>
      </c>
      <c r="L7" s="189"/>
      <c r="M7" s="189"/>
      <c r="N7" s="202"/>
      <c r="O7" s="193"/>
      <c r="P7" s="189"/>
      <c r="Q7" s="189"/>
      <c r="R7" s="189"/>
      <c r="S7" s="189"/>
      <c r="T7" s="189"/>
      <c r="U7" s="189"/>
      <c r="V7" s="189"/>
      <c r="W7" s="189"/>
      <c r="X7" s="189"/>
      <c r="Y7" s="189"/>
      <c r="Z7" s="189"/>
      <c r="AA7" s="189"/>
      <c r="AB7" s="189"/>
    </row>
    <row r="8">
      <c r="A8" s="190" t="s">
        <v>183</v>
      </c>
      <c r="B8" s="192" t="s">
        <v>20</v>
      </c>
      <c r="C8" s="192" t="s">
        <v>102</v>
      </c>
      <c r="D8" s="192" t="s">
        <v>737</v>
      </c>
      <c r="E8" s="187">
        <v>5.0</v>
      </c>
      <c r="F8" s="189"/>
      <c r="G8" s="189"/>
      <c r="H8" s="190" t="s">
        <v>208</v>
      </c>
      <c r="I8" s="189"/>
      <c r="J8" s="190" t="s">
        <v>739</v>
      </c>
      <c r="K8" s="186" t="s">
        <v>192</v>
      </c>
      <c r="L8" s="189"/>
      <c r="M8" s="189"/>
      <c r="N8" s="202"/>
      <c r="O8" s="193"/>
      <c r="P8" s="189"/>
      <c r="Q8" s="189"/>
      <c r="R8" s="189"/>
      <c r="S8" s="189"/>
      <c r="T8" s="189"/>
      <c r="U8" s="189"/>
      <c r="V8" s="189"/>
      <c r="W8" s="189"/>
      <c r="X8" s="189"/>
      <c r="Y8" s="189"/>
      <c r="Z8" s="189"/>
      <c r="AA8" s="189"/>
      <c r="AB8" s="189"/>
    </row>
    <row r="9">
      <c r="A9" s="190" t="s">
        <v>183</v>
      </c>
      <c r="B9" s="192" t="s">
        <v>20</v>
      </c>
      <c r="C9" s="191" t="s">
        <v>740</v>
      </c>
      <c r="D9" s="192" t="s">
        <v>741</v>
      </c>
      <c r="E9" s="187" t="s">
        <v>742</v>
      </c>
      <c r="F9" s="190" t="s">
        <v>174</v>
      </c>
      <c r="G9" s="190" t="s">
        <v>175</v>
      </c>
      <c r="H9" s="190" t="s">
        <v>208</v>
      </c>
      <c r="I9" s="189"/>
      <c r="J9" s="190" t="s">
        <v>736</v>
      </c>
      <c r="K9" s="190" t="s">
        <v>182</v>
      </c>
      <c r="L9" s="190" t="s">
        <v>8</v>
      </c>
      <c r="M9" s="189"/>
      <c r="N9" s="202"/>
      <c r="O9" s="204" t="s">
        <v>743</v>
      </c>
      <c r="P9" s="189"/>
      <c r="Q9" s="189"/>
      <c r="R9" s="189"/>
      <c r="S9" s="189"/>
      <c r="T9" s="189"/>
      <c r="U9" s="189"/>
      <c r="V9" s="189"/>
      <c r="W9" s="189"/>
      <c r="X9" s="189"/>
      <c r="Y9" s="189"/>
      <c r="Z9" s="189"/>
      <c r="AA9" s="189"/>
      <c r="AB9" s="189"/>
    </row>
    <row r="10">
      <c r="A10" s="190" t="s">
        <v>183</v>
      </c>
      <c r="B10" s="192" t="s">
        <v>20</v>
      </c>
      <c r="C10" s="191" t="s">
        <v>744</v>
      </c>
      <c r="D10" s="192" t="s">
        <v>745</v>
      </c>
      <c r="E10" s="189"/>
      <c r="F10" s="189"/>
      <c r="G10" s="189"/>
      <c r="H10" s="190" t="s">
        <v>208</v>
      </c>
      <c r="I10" s="189"/>
      <c r="J10" s="190" t="s">
        <v>739</v>
      </c>
      <c r="K10" s="189"/>
      <c r="L10" s="189"/>
      <c r="M10" s="189"/>
      <c r="N10" s="202"/>
      <c r="O10" s="193"/>
      <c r="P10" s="189"/>
      <c r="Q10" s="189"/>
      <c r="R10" s="189"/>
      <c r="S10" s="189"/>
      <c r="T10" s="189"/>
      <c r="U10" s="189"/>
      <c r="V10" s="189"/>
      <c r="W10" s="189"/>
      <c r="X10" s="189"/>
      <c r="Y10" s="189"/>
      <c r="Z10" s="189"/>
      <c r="AA10" s="189"/>
      <c r="AB10" s="189"/>
    </row>
    <row r="11">
      <c r="A11" s="190" t="s">
        <v>183</v>
      </c>
      <c r="B11" s="192" t="s">
        <v>20</v>
      </c>
      <c r="C11" s="191" t="s">
        <v>98</v>
      </c>
      <c r="D11" s="192" t="s">
        <v>746</v>
      </c>
      <c r="E11" s="187">
        <v>2.0</v>
      </c>
      <c r="F11" s="190" t="s">
        <v>180</v>
      </c>
      <c r="G11" s="190" t="s">
        <v>181</v>
      </c>
      <c r="H11" s="190" t="s">
        <v>208</v>
      </c>
      <c r="I11" s="189"/>
      <c r="J11" s="190" t="s">
        <v>747</v>
      </c>
      <c r="K11" s="190" t="s">
        <v>187</v>
      </c>
      <c r="L11" s="189"/>
      <c r="M11" s="189"/>
      <c r="N11" s="202"/>
      <c r="O11" s="204" t="s">
        <v>748</v>
      </c>
      <c r="P11" s="189"/>
      <c r="Q11" s="189"/>
      <c r="R11" s="189"/>
      <c r="S11" s="189"/>
      <c r="T11" s="189"/>
      <c r="U11" s="189"/>
      <c r="V11" s="189"/>
      <c r="W11" s="189"/>
      <c r="X11" s="189"/>
      <c r="Y11" s="189"/>
      <c r="Z11" s="189"/>
      <c r="AA11" s="189"/>
      <c r="AB11" s="189"/>
    </row>
    <row r="12">
      <c r="A12" s="190" t="s">
        <v>183</v>
      </c>
      <c r="B12" s="192" t="s">
        <v>20</v>
      </c>
      <c r="C12" s="191" t="s">
        <v>102</v>
      </c>
      <c r="D12" s="190" t="s">
        <v>749</v>
      </c>
      <c r="E12" s="189"/>
      <c r="F12" s="190" t="s">
        <v>174</v>
      </c>
      <c r="G12" s="190" t="s">
        <v>175</v>
      </c>
      <c r="H12" s="190" t="s">
        <v>208</v>
      </c>
      <c r="I12" s="189"/>
      <c r="J12" s="190" t="s">
        <v>750</v>
      </c>
      <c r="K12" s="190" t="s">
        <v>192</v>
      </c>
      <c r="L12" s="190" t="s">
        <v>8</v>
      </c>
      <c r="M12" s="189"/>
      <c r="N12" s="202"/>
      <c r="O12" s="204" t="s">
        <v>751</v>
      </c>
      <c r="P12" s="189"/>
      <c r="Q12" s="189"/>
      <c r="R12" s="189"/>
      <c r="S12" s="189"/>
      <c r="T12" s="189"/>
      <c r="U12" s="189"/>
      <c r="V12" s="189"/>
      <c r="W12" s="189"/>
      <c r="X12" s="189"/>
      <c r="Y12" s="189"/>
      <c r="Z12" s="189"/>
      <c r="AA12" s="189"/>
      <c r="AB12" s="189"/>
    </row>
    <row r="13">
      <c r="A13" s="190" t="s">
        <v>183</v>
      </c>
      <c r="B13" s="192" t="s">
        <v>20</v>
      </c>
      <c r="C13" s="191" t="s">
        <v>102</v>
      </c>
      <c r="D13" s="190" t="s">
        <v>752</v>
      </c>
      <c r="E13" s="189"/>
      <c r="F13" s="190" t="s">
        <v>174</v>
      </c>
      <c r="G13" s="190" t="s">
        <v>175</v>
      </c>
      <c r="H13" s="190" t="s">
        <v>207</v>
      </c>
      <c r="I13" s="189"/>
      <c r="J13" s="190" t="s">
        <v>750</v>
      </c>
      <c r="K13" s="190" t="s">
        <v>192</v>
      </c>
      <c r="L13" s="190" t="s">
        <v>8</v>
      </c>
      <c r="M13" s="189"/>
      <c r="N13" s="202"/>
      <c r="O13" s="204" t="s">
        <v>753</v>
      </c>
      <c r="P13" s="189"/>
      <c r="Q13" s="189"/>
      <c r="R13" s="189"/>
      <c r="S13" s="189"/>
      <c r="T13" s="189"/>
      <c r="U13" s="189"/>
      <c r="V13" s="189"/>
      <c r="W13" s="189"/>
      <c r="X13" s="189"/>
      <c r="Y13" s="189"/>
      <c r="Z13" s="189"/>
      <c r="AA13" s="189"/>
      <c r="AB13" s="189"/>
    </row>
    <row r="14">
      <c r="A14" s="190" t="s">
        <v>183</v>
      </c>
      <c r="B14" s="192" t="s">
        <v>20</v>
      </c>
      <c r="C14" s="192" t="s">
        <v>115</v>
      </c>
      <c r="D14" s="192" t="s">
        <v>754</v>
      </c>
      <c r="E14" s="187"/>
      <c r="F14" s="190" t="s">
        <v>174</v>
      </c>
      <c r="G14" s="190" t="s">
        <v>181</v>
      </c>
      <c r="H14" s="190" t="s">
        <v>207</v>
      </c>
      <c r="I14" s="189"/>
      <c r="J14" s="190" t="s">
        <v>747</v>
      </c>
      <c r="K14" s="190" t="s">
        <v>187</v>
      </c>
      <c r="L14" s="189"/>
      <c r="M14" s="189"/>
      <c r="N14" s="202"/>
      <c r="O14" s="204" t="s">
        <v>755</v>
      </c>
      <c r="P14" s="189"/>
      <c r="Q14" s="189"/>
      <c r="R14" s="189"/>
      <c r="S14" s="189"/>
      <c r="T14" s="189"/>
      <c r="U14" s="189"/>
      <c r="V14" s="189"/>
      <c r="W14" s="189"/>
      <c r="X14" s="189"/>
      <c r="Y14" s="189"/>
      <c r="Z14" s="189"/>
      <c r="AA14" s="189"/>
      <c r="AB14" s="189"/>
    </row>
    <row r="15">
      <c r="A15" s="190" t="s">
        <v>183</v>
      </c>
      <c r="B15" s="192" t="s">
        <v>20</v>
      </c>
      <c r="C15" s="192" t="s">
        <v>115</v>
      </c>
      <c r="D15" s="192" t="s">
        <v>756</v>
      </c>
      <c r="E15" s="187">
        <v>8.0</v>
      </c>
      <c r="F15" s="190" t="s">
        <v>174</v>
      </c>
      <c r="G15" s="190" t="s">
        <v>181</v>
      </c>
      <c r="H15" s="190" t="s">
        <v>207</v>
      </c>
      <c r="I15" s="189"/>
      <c r="J15" s="190" t="s">
        <v>747</v>
      </c>
      <c r="K15" s="190" t="s">
        <v>187</v>
      </c>
      <c r="L15" s="189"/>
      <c r="M15" s="189"/>
      <c r="N15" s="202"/>
      <c r="O15" s="204" t="s">
        <v>757</v>
      </c>
      <c r="P15" s="189"/>
      <c r="Q15" s="189"/>
      <c r="R15" s="189"/>
      <c r="S15" s="189"/>
      <c r="T15" s="189"/>
      <c r="U15" s="189"/>
      <c r="V15" s="189"/>
      <c r="W15" s="189"/>
      <c r="X15" s="189"/>
      <c r="Y15" s="189"/>
      <c r="Z15" s="189"/>
      <c r="AA15" s="189"/>
      <c r="AB15" s="189"/>
    </row>
    <row r="16">
      <c r="A16" s="194" t="s">
        <v>183</v>
      </c>
      <c r="B16" s="196" t="s">
        <v>20</v>
      </c>
      <c r="C16" s="196" t="s">
        <v>115</v>
      </c>
      <c r="D16" s="196" t="s">
        <v>758</v>
      </c>
      <c r="E16" s="197" t="s">
        <v>759</v>
      </c>
      <c r="F16" s="194" t="s">
        <v>174</v>
      </c>
      <c r="G16" s="194" t="s">
        <v>181</v>
      </c>
      <c r="H16" s="194" t="s">
        <v>207</v>
      </c>
      <c r="I16" s="198"/>
      <c r="J16" s="194" t="s">
        <v>747</v>
      </c>
      <c r="K16" s="194" t="s">
        <v>187</v>
      </c>
      <c r="L16" s="198"/>
      <c r="M16" s="198"/>
      <c r="N16" s="200"/>
      <c r="O16" s="205"/>
      <c r="P16" s="198"/>
      <c r="Q16" s="198"/>
      <c r="R16" s="198"/>
      <c r="S16" s="198"/>
      <c r="T16" s="198"/>
      <c r="U16" s="198"/>
      <c r="V16" s="198"/>
      <c r="W16" s="198"/>
      <c r="X16" s="198"/>
      <c r="Y16" s="198"/>
      <c r="Z16" s="198"/>
      <c r="AA16" s="198"/>
      <c r="AB16" s="198"/>
    </row>
    <row r="17">
      <c r="A17" s="190" t="s">
        <v>183</v>
      </c>
      <c r="B17" s="192" t="s">
        <v>20</v>
      </c>
      <c r="C17" s="192" t="s">
        <v>115</v>
      </c>
      <c r="D17" s="192" t="s">
        <v>760</v>
      </c>
      <c r="E17" s="187"/>
      <c r="F17" s="190" t="s">
        <v>174</v>
      </c>
      <c r="G17" s="190" t="s">
        <v>181</v>
      </c>
      <c r="H17" s="190" t="s">
        <v>207</v>
      </c>
      <c r="I17" s="189"/>
      <c r="J17" s="190" t="s">
        <v>747</v>
      </c>
      <c r="K17" s="190" t="s">
        <v>187</v>
      </c>
      <c r="L17" s="189"/>
      <c r="M17" s="189"/>
      <c r="N17" s="202"/>
      <c r="O17" s="204"/>
      <c r="P17" s="189"/>
      <c r="Q17" s="189"/>
      <c r="R17" s="189"/>
      <c r="S17" s="189"/>
      <c r="T17" s="189"/>
      <c r="U17" s="189"/>
      <c r="V17" s="189"/>
      <c r="W17" s="189"/>
      <c r="X17" s="189"/>
      <c r="Y17" s="189"/>
      <c r="Z17" s="189"/>
      <c r="AA17" s="189"/>
      <c r="AB17" s="189"/>
    </row>
    <row r="18">
      <c r="A18" s="194" t="s">
        <v>183</v>
      </c>
      <c r="B18" s="196" t="s">
        <v>27</v>
      </c>
      <c r="C18" s="195" t="s">
        <v>102</v>
      </c>
      <c r="D18" s="196" t="s">
        <v>761</v>
      </c>
      <c r="E18" s="197" t="s">
        <v>524</v>
      </c>
      <c r="F18" s="198" t="s">
        <v>185</v>
      </c>
      <c r="G18" s="198" t="s">
        <v>186</v>
      </c>
      <c r="H18" s="198" t="s">
        <v>208</v>
      </c>
      <c r="I18" s="198"/>
      <c r="J18" s="198" t="s">
        <v>736</v>
      </c>
      <c r="K18" s="198" t="s">
        <v>182</v>
      </c>
      <c r="L18" s="198"/>
      <c r="M18" s="198"/>
      <c r="N18" s="200"/>
      <c r="O18" s="201"/>
      <c r="P18" s="198"/>
      <c r="Q18" s="198"/>
      <c r="R18" s="198"/>
      <c r="S18" s="198"/>
      <c r="T18" s="198"/>
      <c r="U18" s="198"/>
      <c r="V18" s="198"/>
      <c r="W18" s="198"/>
      <c r="X18" s="198"/>
      <c r="Y18" s="198"/>
      <c r="Z18" s="198"/>
      <c r="AA18" s="198"/>
      <c r="AB18" s="198"/>
    </row>
    <row r="19">
      <c r="A19" s="194" t="s">
        <v>183</v>
      </c>
      <c r="B19" s="196" t="s">
        <v>27</v>
      </c>
      <c r="C19" s="195" t="s">
        <v>762</v>
      </c>
      <c r="D19" s="196" t="s">
        <v>763</v>
      </c>
      <c r="E19" s="197" t="s">
        <v>524</v>
      </c>
      <c r="F19" s="198"/>
      <c r="G19" s="198"/>
      <c r="H19" s="198"/>
      <c r="I19" s="198"/>
      <c r="J19" s="198"/>
      <c r="K19" s="198"/>
      <c r="L19" s="198"/>
      <c r="M19" s="198"/>
      <c r="N19" s="200"/>
      <c r="O19" s="201"/>
      <c r="P19" s="198"/>
      <c r="Q19" s="198"/>
      <c r="R19" s="198"/>
      <c r="S19" s="198"/>
      <c r="T19" s="198"/>
      <c r="U19" s="198"/>
      <c r="V19" s="198"/>
      <c r="W19" s="198"/>
      <c r="X19" s="198"/>
      <c r="Y19" s="198"/>
      <c r="Z19" s="198"/>
      <c r="AA19" s="198"/>
      <c r="AB19" s="198"/>
    </row>
    <row r="20">
      <c r="A20" s="118" t="s">
        <v>183</v>
      </c>
      <c r="B20" s="91" t="s">
        <v>27</v>
      </c>
      <c r="C20" s="118" t="s">
        <v>762</v>
      </c>
      <c r="D20" s="92" t="s">
        <v>764</v>
      </c>
      <c r="E20" s="91" t="s">
        <v>712</v>
      </c>
      <c r="F20" s="206"/>
      <c r="G20" s="206"/>
      <c r="H20" s="206"/>
      <c r="I20" s="206"/>
      <c r="J20" s="206"/>
      <c r="K20" s="206"/>
      <c r="L20" s="206"/>
      <c r="M20" s="206"/>
      <c r="N20" s="207"/>
      <c r="O20" s="208"/>
      <c r="P20" s="206"/>
      <c r="Q20" s="206"/>
      <c r="R20" s="206"/>
      <c r="S20" s="206"/>
      <c r="T20" s="206"/>
      <c r="U20" s="206"/>
      <c r="V20" s="206"/>
      <c r="W20" s="206"/>
      <c r="X20" s="206"/>
      <c r="Y20" s="206"/>
      <c r="Z20" s="206"/>
      <c r="AA20" s="206"/>
      <c r="AB20" s="206"/>
    </row>
    <row r="21">
      <c r="A21" s="194" t="s">
        <v>183</v>
      </c>
      <c r="B21" s="197" t="s">
        <v>27</v>
      </c>
      <c r="C21" s="195" t="s">
        <v>102</v>
      </c>
      <c r="D21" s="196" t="s">
        <v>765</v>
      </c>
      <c r="E21" s="197" t="s">
        <v>766</v>
      </c>
      <c r="F21" s="198"/>
      <c r="G21" s="198"/>
      <c r="H21" s="198"/>
      <c r="I21" s="198"/>
      <c r="J21" s="198"/>
      <c r="K21" s="198"/>
      <c r="L21" s="198"/>
      <c r="M21" s="198"/>
      <c r="N21" s="200"/>
      <c r="O21" s="201"/>
      <c r="P21" s="198"/>
      <c r="Q21" s="198"/>
      <c r="R21" s="198"/>
      <c r="S21" s="198"/>
      <c r="T21" s="198"/>
      <c r="U21" s="198"/>
      <c r="V21" s="198"/>
      <c r="W21" s="198"/>
      <c r="X21" s="198"/>
      <c r="Y21" s="198"/>
      <c r="Z21" s="198"/>
      <c r="AA21" s="198"/>
      <c r="AB21" s="198"/>
    </row>
    <row r="22">
      <c r="A22" s="190" t="s">
        <v>183</v>
      </c>
      <c r="B22" s="192" t="s">
        <v>20</v>
      </c>
      <c r="C22" s="192" t="s">
        <v>123</v>
      </c>
      <c r="D22" s="192" t="s">
        <v>767</v>
      </c>
      <c r="E22" s="189"/>
      <c r="F22" s="189"/>
      <c r="G22" s="189"/>
      <c r="H22" s="190" t="s">
        <v>207</v>
      </c>
      <c r="I22" s="189"/>
      <c r="J22" s="190" t="s">
        <v>768</v>
      </c>
      <c r="K22" s="189"/>
      <c r="L22" s="189"/>
      <c r="M22" s="189"/>
      <c r="N22" s="202"/>
      <c r="O22" s="193"/>
      <c r="P22" s="189"/>
      <c r="Q22" s="189"/>
      <c r="R22" s="189"/>
      <c r="S22" s="189"/>
      <c r="T22" s="189"/>
      <c r="U22" s="189"/>
      <c r="V22" s="189"/>
      <c r="W22" s="189"/>
      <c r="X22" s="189"/>
      <c r="Y22" s="189"/>
      <c r="Z22" s="189"/>
      <c r="AA22" s="189"/>
      <c r="AB22" s="189"/>
    </row>
    <row r="23">
      <c r="A23" s="190" t="s">
        <v>183</v>
      </c>
      <c r="B23" s="192" t="s">
        <v>20</v>
      </c>
      <c r="C23" s="192" t="s">
        <v>123</v>
      </c>
      <c r="D23" s="192" t="s">
        <v>769</v>
      </c>
      <c r="E23" s="189"/>
      <c r="F23" s="189"/>
      <c r="G23" s="189"/>
      <c r="H23" s="190"/>
      <c r="I23" s="189"/>
      <c r="J23" s="190"/>
      <c r="K23" s="189"/>
      <c r="L23" s="189"/>
      <c r="M23" s="189"/>
      <c r="N23" s="202"/>
      <c r="O23" s="193"/>
      <c r="P23" s="189"/>
      <c r="Q23" s="189"/>
      <c r="R23" s="189"/>
      <c r="S23" s="189"/>
      <c r="T23" s="189"/>
      <c r="U23" s="189"/>
      <c r="V23" s="189"/>
      <c r="W23" s="189"/>
      <c r="X23" s="189"/>
      <c r="Y23" s="189"/>
      <c r="Z23" s="189"/>
      <c r="AA23" s="189"/>
      <c r="AB23" s="189"/>
    </row>
    <row r="24">
      <c r="A24" s="190" t="s">
        <v>183</v>
      </c>
      <c r="B24" s="192" t="s">
        <v>20</v>
      </c>
      <c r="C24" s="192" t="s">
        <v>123</v>
      </c>
      <c r="D24" s="192" t="s">
        <v>770</v>
      </c>
      <c r="E24" s="189"/>
      <c r="F24" s="189"/>
      <c r="G24" s="189"/>
      <c r="H24" s="190"/>
      <c r="I24" s="189"/>
      <c r="J24" s="190"/>
      <c r="K24" s="189"/>
      <c r="L24" s="189"/>
      <c r="M24" s="189"/>
      <c r="N24" s="202"/>
      <c r="O24" s="193"/>
      <c r="P24" s="189"/>
      <c r="Q24" s="189"/>
      <c r="R24" s="189"/>
      <c r="S24" s="189"/>
      <c r="T24" s="189"/>
      <c r="U24" s="189"/>
      <c r="V24" s="189"/>
      <c r="W24" s="189"/>
      <c r="X24" s="189"/>
      <c r="Y24" s="189"/>
      <c r="Z24" s="189"/>
      <c r="AA24" s="189"/>
      <c r="AB24" s="189"/>
    </row>
    <row r="25">
      <c r="A25" s="192" t="s">
        <v>196</v>
      </c>
      <c r="B25" s="209" t="s">
        <v>35</v>
      </c>
      <c r="C25" s="210" t="s">
        <v>131</v>
      </c>
      <c r="D25" s="192" t="s">
        <v>242</v>
      </c>
      <c r="E25" s="189"/>
      <c r="F25" s="190" t="s">
        <v>185</v>
      </c>
      <c r="G25" s="190" t="s">
        <v>186</v>
      </c>
      <c r="H25" s="190" t="s">
        <v>207</v>
      </c>
      <c r="I25" s="189"/>
      <c r="J25" s="190" t="s">
        <v>771</v>
      </c>
      <c r="K25" s="190" t="s">
        <v>177</v>
      </c>
      <c r="L25" s="190" t="s">
        <v>6</v>
      </c>
      <c r="M25" s="189"/>
      <c r="N25" s="202"/>
      <c r="O25" s="204" t="s">
        <v>772</v>
      </c>
      <c r="P25" s="189"/>
      <c r="Q25" s="189"/>
      <c r="R25" s="189"/>
      <c r="S25" s="189"/>
      <c r="T25" s="189"/>
      <c r="U25" s="189"/>
      <c r="V25" s="189"/>
      <c r="W25" s="189"/>
      <c r="X25" s="189"/>
      <c r="Y25" s="189"/>
      <c r="Z25" s="189"/>
      <c r="AA25" s="189"/>
      <c r="AB25" s="189"/>
    </row>
    <row r="26">
      <c r="A26" s="190" t="s">
        <v>183</v>
      </c>
      <c r="B26" s="209" t="s">
        <v>35</v>
      </c>
      <c r="C26" s="210" t="s">
        <v>773</v>
      </c>
      <c r="D26" s="192" t="s">
        <v>774</v>
      </c>
      <c r="E26" s="189"/>
      <c r="F26" s="189"/>
      <c r="G26" s="189"/>
      <c r="H26" s="189"/>
      <c r="I26" s="189"/>
      <c r="J26" s="189"/>
      <c r="K26" s="189"/>
      <c r="L26" s="189"/>
      <c r="M26" s="189"/>
      <c r="N26" s="202"/>
      <c r="O26" s="193"/>
      <c r="P26" s="189"/>
      <c r="Q26" s="189"/>
      <c r="R26" s="189"/>
      <c r="S26" s="189"/>
      <c r="T26" s="189"/>
      <c r="U26" s="189"/>
      <c r="V26" s="189"/>
      <c r="W26" s="189"/>
      <c r="X26" s="189"/>
      <c r="Y26" s="189"/>
      <c r="Z26" s="189"/>
      <c r="AA26" s="189"/>
      <c r="AB26" s="189"/>
    </row>
    <row r="27">
      <c r="A27" s="192" t="s">
        <v>196</v>
      </c>
      <c r="B27" s="209" t="s">
        <v>35</v>
      </c>
      <c r="C27" s="210" t="s">
        <v>131</v>
      </c>
      <c r="D27" s="192" t="s">
        <v>775</v>
      </c>
      <c r="E27" s="189"/>
      <c r="F27" s="189"/>
      <c r="G27" s="189"/>
      <c r="H27" s="189"/>
      <c r="I27" s="189"/>
      <c r="J27" s="189"/>
      <c r="K27" s="189"/>
      <c r="L27" s="189"/>
      <c r="M27" s="189"/>
      <c r="N27" s="202"/>
      <c r="O27" s="193" t="s">
        <v>776</v>
      </c>
      <c r="P27" s="189"/>
      <c r="Q27" s="189"/>
      <c r="R27" s="189"/>
      <c r="S27" s="189"/>
      <c r="T27" s="189"/>
      <c r="U27" s="189"/>
      <c r="V27" s="189"/>
      <c r="W27" s="189"/>
      <c r="X27" s="189"/>
      <c r="Y27" s="189"/>
      <c r="Z27" s="189"/>
      <c r="AA27" s="189"/>
      <c r="AB27" s="189"/>
    </row>
    <row r="28">
      <c r="A28" s="192" t="s">
        <v>196</v>
      </c>
      <c r="B28" s="209" t="s">
        <v>35</v>
      </c>
      <c r="C28" s="210" t="s">
        <v>131</v>
      </c>
      <c r="D28" s="192" t="s">
        <v>777</v>
      </c>
      <c r="E28" s="189"/>
      <c r="F28" s="189"/>
      <c r="G28" s="189"/>
      <c r="H28" s="189"/>
      <c r="I28" s="189"/>
      <c r="J28" s="189"/>
      <c r="K28" s="189"/>
      <c r="L28" s="189"/>
      <c r="M28" s="189"/>
      <c r="N28" s="202"/>
      <c r="O28" s="193" t="s">
        <v>778</v>
      </c>
      <c r="P28" s="189"/>
      <c r="Q28" s="189"/>
      <c r="R28" s="189"/>
      <c r="S28" s="189"/>
      <c r="T28" s="189"/>
      <c r="U28" s="189"/>
      <c r="V28" s="189"/>
      <c r="W28" s="189"/>
      <c r="X28" s="189"/>
      <c r="Y28" s="189"/>
      <c r="Z28" s="189"/>
      <c r="AA28" s="189"/>
      <c r="AB28" s="189"/>
    </row>
    <row r="29">
      <c r="A29" s="190" t="s">
        <v>183</v>
      </c>
      <c r="B29" s="211" t="s">
        <v>14</v>
      </c>
      <c r="C29" s="210" t="s">
        <v>103</v>
      </c>
      <c r="D29" s="192" t="s">
        <v>779</v>
      </c>
      <c r="E29" s="189"/>
      <c r="F29" s="190" t="s">
        <v>185</v>
      </c>
      <c r="G29" s="190" t="s">
        <v>181</v>
      </c>
      <c r="H29" s="190" t="s">
        <v>208</v>
      </c>
      <c r="I29" s="189"/>
      <c r="J29" s="190" t="s">
        <v>747</v>
      </c>
      <c r="K29" s="190" t="s">
        <v>187</v>
      </c>
      <c r="L29" s="190" t="s">
        <v>176</v>
      </c>
      <c r="M29" s="189"/>
      <c r="N29" s="202"/>
      <c r="O29" s="193"/>
      <c r="P29" s="189"/>
      <c r="Q29" s="189"/>
      <c r="R29" s="189"/>
      <c r="S29" s="189"/>
      <c r="T29" s="189"/>
      <c r="U29" s="189"/>
      <c r="V29" s="189"/>
      <c r="W29" s="189"/>
      <c r="X29" s="189"/>
      <c r="Y29" s="189"/>
      <c r="Z29" s="189"/>
      <c r="AA29" s="189"/>
      <c r="AB29" s="189"/>
    </row>
    <row r="30">
      <c r="A30" s="190" t="s">
        <v>183</v>
      </c>
      <c r="B30" s="212" t="s">
        <v>14</v>
      </c>
      <c r="C30" s="191" t="s">
        <v>780</v>
      </c>
      <c r="D30" s="190" t="s">
        <v>781</v>
      </c>
      <c r="E30" s="189"/>
      <c r="F30" s="190" t="s">
        <v>185</v>
      </c>
      <c r="G30" s="190" t="s">
        <v>181</v>
      </c>
      <c r="H30" s="190" t="s">
        <v>208</v>
      </c>
      <c r="I30" s="189"/>
      <c r="J30" s="190" t="s">
        <v>736</v>
      </c>
      <c r="K30" s="190" t="s">
        <v>182</v>
      </c>
      <c r="L30" s="191" t="s">
        <v>782</v>
      </c>
      <c r="M30" s="189"/>
      <c r="N30" s="202"/>
      <c r="O30" s="204" t="s">
        <v>783</v>
      </c>
      <c r="P30" s="189"/>
      <c r="Q30" s="189"/>
      <c r="R30" s="189"/>
      <c r="S30" s="189"/>
      <c r="T30" s="189"/>
      <c r="U30" s="189"/>
      <c r="V30" s="189"/>
      <c r="W30" s="189"/>
      <c r="X30" s="189"/>
      <c r="Y30" s="189"/>
      <c r="Z30" s="189"/>
      <c r="AA30" s="189"/>
      <c r="AB30" s="189"/>
    </row>
    <row r="31">
      <c r="A31" s="190" t="s">
        <v>183</v>
      </c>
      <c r="B31" s="209" t="s">
        <v>35</v>
      </c>
      <c r="C31" s="210" t="s">
        <v>50</v>
      </c>
      <c r="D31" s="192" t="s">
        <v>784</v>
      </c>
      <c r="E31" s="187">
        <v>3.0</v>
      </c>
      <c r="F31" s="190" t="s">
        <v>185</v>
      </c>
      <c r="G31" s="190" t="s">
        <v>181</v>
      </c>
      <c r="H31" s="190" t="s">
        <v>207</v>
      </c>
      <c r="I31" s="189"/>
      <c r="J31" s="190" t="s">
        <v>736</v>
      </c>
      <c r="K31" s="190" t="s">
        <v>182</v>
      </c>
      <c r="L31" s="190" t="s">
        <v>6</v>
      </c>
      <c r="M31" s="189"/>
      <c r="N31" s="202"/>
      <c r="O31" s="204" t="s">
        <v>785</v>
      </c>
      <c r="P31" s="189"/>
      <c r="Q31" s="189"/>
      <c r="R31" s="189"/>
      <c r="S31" s="189"/>
      <c r="T31" s="189"/>
      <c r="U31" s="189"/>
      <c r="V31" s="189"/>
      <c r="W31" s="189"/>
      <c r="X31" s="189"/>
      <c r="Y31" s="189"/>
      <c r="Z31" s="189"/>
      <c r="AA31" s="189"/>
      <c r="AB31" s="189"/>
    </row>
    <row r="32">
      <c r="A32" s="190" t="s">
        <v>183</v>
      </c>
      <c r="B32" s="212" t="s">
        <v>57</v>
      </c>
      <c r="C32" s="210" t="s">
        <v>50</v>
      </c>
      <c r="D32" s="192" t="s">
        <v>786</v>
      </c>
      <c r="E32" s="189"/>
      <c r="F32" s="190" t="s">
        <v>185</v>
      </c>
      <c r="G32" s="190" t="s">
        <v>181</v>
      </c>
      <c r="H32" s="190" t="s">
        <v>208</v>
      </c>
      <c r="I32" s="189"/>
      <c r="J32" s="190" t="s">
        <v>736</v>
      </c>
      <c r="K32" s="190" t="s">
        <v>182</v>
      </c>
      <c r="L32" s="191" t="s">
        <v>782</v>
      </c>
      <c r="M32" s="189"/>
      <c r="N32" s="202"/>
      <c r="O32" s="213" t="s">
        <v>787</v>
      </c>
      <c r="P32" s="189"/>
      <c r="Q32" s="189"/>
      <c r="R32" s="189"/>
      <c r="S32" s="189"/>
      <c r="T32" s="189"/>
      <c r="U32" s="189"/>
      <c r="V32" s="189"/>
      <c r="W32" s="189"/>
      <c r="X32" s="189"/>
      <c r="Y32" s="189"/>
      <c r="Z32" s="189"/>
      <c r="AA32" s="189"/>
      <c r="AB32" s="189"/>
    </row>
    <row r="33">
      <c r="A33" s="190" t="s">
        <v>183</v>
      </c>
      <c r="B33" s="212" t="s">
        <v>57</v>
      </c>
      <c r="C33" s="210" t="s">
        <v>50</v>
      </c>
      <c r="D33" s="192" t="s">
        <v>788</v>
      </c>
      <c r="E33" s="189"/>
      <c r="F33" s="190"/>
      <c r="G33" s="190"/>
      <c r="H33" s="190"/>
      <c r="I33" s="189"/>
      <c r="J33" s="190"/>
      <c r="K33" s="190"/>
      <c r="L33" s="191"/>
      <c r="M33" s="189"/>
      <c r="N33" s="202"/>
      <c r="O33" s="213" t="s">
        <v>789</v>
      </c>
      <c r="P33" s="189"/>
      <c r="Q33" s="189"/>
      <c r="R33" s="189"/>
      <c r="S33" s="189"/>
      <c r="T33" s="189"/>
      <c r="U33" s="189"/>
      <c r="V33" s="189"/>
      <c r="W33" s="189"/>
      <c r="X33" s="189"/>
      <c r="Y33" s="189"/>
      <c r="Z33" s="189"/>
      <c r="AA33" s="189"/>
      <c r="AB33" s="189"/>
    </row>
    <row r="34">
      <c r="A34" s="190" t="s">
        <v>183</v>
      </c>
      <c r="B34" s="209" t="s">
        <v>35</v>
      </c>
      <c r="C34" s="210" t="s">
        <v>50</v>
      </c>
      <c r="D34" s="192" t="s">
        <v>790</v>
      </c>
      <c r="E34" s="187" t="s">
        <v>791</v>
      </c>
      <c r="F34" s="190" t="s">
        <v>185</v>
      </c>
      <c r="G34" s="190" t="s">
        <v>181</v>
      </c>
      <c r="H34" s="190" t="s">
        <v>207</v>
      </c>
      <c r="I34" s="189"/>
      <c r="J34" s="190" t="s">
        <v>736</v>
      </c>
      <c r="K34" s="190" t="s">
        <v>182</v>
      </c>
      <c r="L34" s="190" t="s">
        <v>6</v>
      </c>
      <c r="M34" s="189"/>
      <c r="N34" s="202"/>
      <c r="O34" s="204" t="s">
        <v>792</v>
      </c>
      <c r="P34" s="189"/>
      <c r="Q34" s="189"/>
      <c r="R34" s="189"/>
      <c r="S34" s="189"/>
      <c r="T34" s="189"/>
      <c r="U34" s="189"/>
      <c r="V34" s="189"/>
      <c r="W34" s="189"/>
      <c r="X34" s="189"/>
      <c r="Y34" s="189"/>
      <c r="Z34" s="189"/>
      <c r="AA34" s="189"/>
      <c r="AB34" s="189"/>
    </row>
    <row r="35">
      <c r="A35" s="214" t="s">
        <v>183</v>
      </c>
      <c r="B35" s="215" t="s">
        <v>35</v>
      </c>
      <c r="C35" s="214"/>
      <c r="D35" s="214" t="s">
        <v>793</v>
      </c>
      <c r="E35" s="216"/>
      <c r="F35" s="214" t="s">
        <v>185</v>
      </c>
      <c r="G35" s="214" t="s">
        <v>181</v>
      </c>
      <c r="H35" s="214" t="s">
        <v>208</v>
      </c>
      <c r="I35" s="216"/>
      <c r="J35" s="214" t="s">
        <v>747</v>
      </c>
      <c r="K35" s="214" t="s">
        <v>187</v>
      </c>
      <c r="L35" s="214" t="s">
        <v>6</v>
      </c>
      <c r="M35" s="216"/>
      <c r="N35" s="217"/>
      <c r="O35" s="218"/>
      <c r="P35" s="216"/>
      <c r="Q35" s="216"/>
      <c r="R35" s="216"/>
      <c r="S35" s="216"/>
      <c r="T35" s="216"/>
      <c r="U35" s="216"/>
      <c r="V35" s="216"/>
      <c r="W35" s="216"/>
      <c r="X35" s="216"/>
      <c r="Y35" s="216"/>
      <c r="Z35" s="216"/>
      <c r="AA35" s="216"/>
      <c r="AB35" s="216"/>
    </row>
    <row r="36">
      <c r="A36" s="190" t="s">
        <v>196</v>
      </c>
      <c r="B36" s="192" t="s">
        <v>43</v>
      </c>
      <c r="C36" s="191" t="s">
        <v>794</v>
      </c>
      <c r="D36" s="192" t="s">
        <v>795</v>
      </c>
      <c r="E36" s="189"/>
      <c r="F36" s="189"/>
      <c r="G36" s="189"/>
      <c r="H36" s="190" t="s">
        <v>208</v>
      </c>
      <c r="I36" s="189"/>
      <c r="J36" s="190" t="s">
        <v>736</v>
      </c>
      <c r="K36" s="190" t="s">
        <v>182</v>
      </c>
      <c r="L36" s="190" t="s">
        <v>9</v>
      </c>
      <c r="M36" s="189"/>
      <c r="N36" s="202"/>
      <c r="O36" s="193"/>
      <c r="P36" s="189"/>
      <c r="Q36" s="189"/>
      <c r="R36" s="189"/>
      <c r="S36" s="189"/>
      <c r="T36" s="189"/>
      <c r="U36" s="189"/>
      <c r="V36" s="189"/>
      <c r="W36" s="189"/>
      <c r="X36" s="189"/>
      <c r="Y36" s="189"/>
      <c r="Z36" s="189"/>
      <c r="AA36" s="189"/>
      <c r="AB36" s="189"/>
    </row>
    <row r="37">
      <c r="A37" s="192" t="s">
        <v>199</v>
      </c>
      <c r="B37" s="192" t="s">
        <v>57</v>
      </c>
      <c r="C37" s="191" t="s">
        <v>288</v>
      </c>
      <c r="D37" s="192" t="s">
        <v>796</v>
      </c>
      <c r="E37" s="219"/>
      <c r="F37" s="189"/>
      <c r="G37" s="189"/>
      <c r="H37" s="192" t="s">
        <v>204</v>
      </c>
      <c r="I37" s="189"/>
      <c r="J37" s="190"/>
      <c r="K37" s="189"/>
      <c r="L37" s="190"/>
      <c r="M37" s="189"/>
      <c r="N37" s="202"/>
      <c r="O37" s="204"/>
      <c r="P37" s="189"/>
      <c r="Q37" s="189"/>
      <c r="R37" s="189"/>
      <c r="S37" s="189"/>
      <c r="T37" s="189"/>
      <c r="U37" s="189"/>
      <c r="V37" s="189"/>
      <c r="W37" s="189"/>
      <c r="X37" s="189"/>
      <c r="Y37" s="189"/>
      <c r="Z37" s="189"/>
      <c r="AA37" s="189"/>
      <c r="AB37" s="189"/>
    </row>
    <row r="38">
      <c r="A38" s="192" t="s">
        <v>199</v>
      </c>
      <c r="B38" s="192" t="s">
        <v>57</v>
      </c>
      <c r="C38" s="191" t="s">
        <v>1</v>
      </c>
      <c r="D38" s="192" t="s">
        <v>797</v>
      </c>
      <c r="E38" s="219" t="s">
        <v>798</v>
      </c>
      <c r="F38" s="189"/>
      <c r="G38" s="189"/>
      <c r="H38" s="190" t="s">
        <v>208</v>
      </c>
      <c r="I38" s="189"/>
      <c r="J38" s="190">
        <v>15.2</v>
      </c>
      <c r="K38" s="189"/>
      <c r="L38" s="190" t="s">
        <v>799</v>
      </c>
      <c r="M38" s="189"/>
      <c r="N38" s="202"/>
      <c r="O38" s="204" t="s">
        <v>800</v>
      </c>
      <c r="P38" s="189"/>
      <c r="Q38" s="189"/>
      <c r="R38" s="189"/>
      <c r="S38" s="189"/>
      <c r="T38" s="189"/>
      <c r="U38" s="189"/>
      <c r="V38" s="189"/>
      <c r="W38" s="189"/>
      <c r="X38" s="189"/>
      <c r="Y38" s="189"/>
      <c r="Z38" s="189"/>
      <c r="AA38" s="189"/>
      <c r="AB38" s="189"/>
    </row>
    <row r="39">
      <c r="A39" s="192" t="s">
        <v>199</v>
      </c>
      <c r="B39" s="192" t="s">
        <v>57</v>
      </c>
      <c r="C39" s="191" t="s">
        <v>1</v>
      </c>
      <c r="D39" s="187" t="s">
        <v>801</v>
      </c>
      <c r="E39" s="219" t="s">
        <v>798</v>
      </c>
      <c r="F39" s="189"/>
      <c r="G39" s="189"/>
      <c r="H39" s="190" t="s">
        <v>208</v>
      </c>
      <c r="I39" s="189"/>
      <c r="J39" s="190">
        <v>1.5</v>
      </c>
      <c r="K39" s="189"/>
      <c r="L39" s="190" t="s">
        <v>176</v>
      </c>
      <c r="M39" s="189"/>
      <c r="N39" s="202"/>
      <c r="O39" s="193"/>
      <c r="P39" s="189"/>
      <c r="Q39" s="189"/>
      <c r="R39" s="189"/>
      <c r="S39" s="189"/>
      <c r="T39" s="189"/>
      <c r="U39" s="189"/>
      <c r="V39" s="189"/>
      <c r="W39" s="189"/>
      <c r="X39" s="189"/>
      <c r="Y39" s="189"/>
      <c r="Z39" s="189"/>
      <c r="AA39" s="189"/>
      <c r="AB39" s="189"/>
    </row>
    <row r="40">
      <c r="A40" s="192" t="s">
        <v>199</v>
      </c>
      <c r="B40" s="192" t="s">
        <v>57</v>
      </c>
      <c r="C40" s="191" t="s">
        <v>802</v>
      </c>
      <c r="D40" s="192" t="s">
        <v>803</v>
      </c>
      <c r="E40" s="189"/>
      <c r="F40" s="189"/>
      <c r="G40" s="189"/>
      <c r="H40" s="190" t="s">
        <v>208</v>
      </c>
      <c r="I40" s="189"/>
      <c r="J40" s="190"/>
      <c r="K40" s="189"/>
      <c r="L40" s="190" t="s">
        <v>6</v>
      </c>
      <c r="M40" s="189"/>
      <c r="N40" s="202"/>
      <c r="O40" s="193"/>
      <c r="P40" s="189"/>
      <c r="Q40" s="189"/>
      <c r="R40" s="189"/>
      <c r="S40" s="189"/>
      <c r="T40" s="189"/>
      <c r="U40" s="189"/>
      <c r="V40" s="189"/>
      <c r="W40" s="189"/>
      <c r="X40" s="189"/>
      <c r="Y40" s="189"/>
      <c r="Z40" s="189"/>
      <c r="AA40" s="189"/>
      <c r="AB40" s="189"/>
    </row>
    <row r="41">
      <c r="A41" s="192" t="s">
        <v>199</v>
      </c>
      <c r="B41" s="192" t="s">
        <v>57</v>
      </c>
      <c r="C41" s="191" t="s">
        <v>802</v>
      </c>
      <c r="D41" s="192" t="s">
        <v>804</v>
      </c>
      <c r="E41" s="189"/>
      <c r="F41" s="189"/>
      <c r="G41" s="189"/>
      <c r="H41" s="190" t="s">
        <v>208</v>
      </c>
      <c r="I41" s="189"/>
      <c r="J41" s="190"/>
      <c r="K41" s="189"/>
      <c r="L41" s="190" t="s">
        <v>6</v>
      </c>
      <c r="M41" s="189"/>
      <c r="N41" s="202"/>
      <c r="O41" s="193"/>
      <c r="P41" s="189"/>
      <c r="Q41" s="189"/>
      <c r="R41" s="189"/>
      <c r="S41" s="189"/>
      <c r="T41" s="189"/>
      <c r="U41" s="189"/>
      <c r="V41" s="189"/>
      <c r="W41" s="189"/>
      <c r="X41" s="189"/>
      <c r="Y41" s="189"/>
      <c r="Z41" s="189"/>
      <c r="AA41" s="189"/>
      <c r="AB41" s="189"/>
    </row>
    <row r="42">
      <c r="A42" s="192" t="s">
        <v>199</v>
      </c>
      <c r="B42" s="192" t="s">
        <v>57</v>
      </c>
      <c r="C42" s="191" t="s">
        <v>1</v>
      </c>
      <c r="D42" s="192" t="s">
        <v>805</v>
      </c>
      <c r="E42" s="219" t="s">
        <v>798</v>
      </c>
      <c r="F42" s="189"/>
      <c r="G42" s="189"/>
      <c r="H42" s="190" t="s">
        <v>208</v>
      </c>
      <c r="I42" s="189"/>
      <c r="J42" s="190">
        <v>1.6</v>
      </c>
      <c r="K42" s="189"/>
      <c r="L42" s="190" t="s">
        <v>806</v>
      </c>
      <c r="M42" s="189"/>
      <c r="N42" s="202"/>
      <c r="O42" s="193"/>
      <c r="P42" s="189"/>
      <c r="Q42" s="189"/>
      <c r="R42" s="189"/>
      <c r="S42" s="189"/>
      <c r="T42" s="189"/>
      <c r="U42" s="189"/>
      <c r="V42" s="189"/>
      <c r="W42" s="189"/>
      <c r="X42" s="189"/>
      <c r="Y42" s="189"/>
      <c r="Z42" s="189"/>
      <c r="AA42" s="189"/>
      <c r="AB42" s="189"/>
    </row>
    <row r="43">
      <c r="A43" s="192" t="s">
        <v>199</v>
      </c>
      <c r="B43" s="192" t="s">
        <v>57</v>
      </c>
      <c r="C43" s="191" t="s">
        <v>107</v>
      </c>
      <c r="D43" s="192" t="s">
        <v>807</v>
      </c>
      <c r="E43" s="219" t="s">
        <v>798</v>
      </c>
      <c r="F43" s="189"/>
      <c r="G43" s="189"/>
      <c r="H43" s="190" t="s">
        <v>208</v>
      </c>
      <c r="I43" s="189"/>
      <c r="J43" s="190">
        <v>1.1</v>
      </c>
      <c r="K43" s="189"/>
      <c r="L43" s="189"/>
      <c r="M43" s="189"/>
      <c r="N43" s="202"/>
      <c r="O43" s="193"/>
      <c r="P43" s="189"/>
      <c r="Q43" s="189"/>
      <c r="R43" s="189"/>
      <c r="S43" s="189"/>
      <c r="T43" s="189"/>
      <c r="U43" s="189"/>
      <c r="V43" s="189"/>
      <c r="W43" s="189"/>
      <c r="X43" s="189"/>
      <c r="Y43" s="189"/>
      <c r="Z43" s="189"/>
      <c r="AA43" s="189"/>
      <c r="AB43" s="189"/>
    </row>
    <row r="44">
      <c r="A44" s="192" t="s">
        <v>199</v>
      </c>
      <c r="B44" s="192" t="s">
        <v>57</v>
      </c>
      <c r="C44" s="191" t="s">
        <v>107</v>
      </c>
      <c r="D44" s="192" t="s">
        <v>808</v>
      </c>
      <c r="E44" s="219" t="s">
        <v>798</v>
      </c>
      <c r="F44" s="189"/>
      <c r="G44" s="189"/>
      <c r="H44" s="190" t="s">
        <v>208</v>
      </c>
      <c r="I44" s="189"/>
      <c r="J44" s="190">
        <v>1.1</v>
      </c>
      <c r="K44" s="189"/>
      <c r="L44" s="189"/>
      <c r="M44" s="189"/>
      <c r="N44" s="202"/>
      <c r="O44" s="193"/>
      <c r="P44" s="189"/>
      <c r="Q44" s="189"/>
      <c r="R44" s="189"/>
      <c r="S44" s="189"/>
      <c r="T44" s="189"/>
      <c r="U44" s="189"/>
      <c r="V44" s="189"/>
      <c r="W44" s="189"/>
      <c r="X44" s="189"/>
      <c r="Y44" s="189"/>
      <c r="Z44" s="189"/>
      <c r="AA44" s="189"/>
      <c r="AB44" s="189"/>
    </row>
    <row r="45">
      <c r="A45" s="192" t="s">
        <v>199</v>
      </c>
      <c r="B45" s="192" t="s">
        <v>57</v>
      </c>
      <c r="C45" s="191" t="s">
        <v>107</v>
      </c>
      <c r="D45" s="192" t="s">
        <v>809</v>
      </c>
      <c r="E45" s="219" t="s">
        <v>798</v>
      </c>
      <c r="F45" s="189"/>
      <c r="G45" s="189"/>
      <c r="H45" s="190" t="s">
        <v>208</v>
      </c>
      <c r="I45" s="189"/>
      <c r="J45" s="190">
        <v>1.4</v>
      </c>
      <c r="K45" s="189"/>
      <c r="L45" s="189"/>
      <c r="M45" s="189"/>
      <c r="N45" s="202"/>
      <c r="O45" s="193"/>
      <c r="P45" s="189"/>
      <c r="Q45" s="189"/>
      <c r="R45" s="189"/>
      <c r="S45" s="189"/>
      <c r="T45" s="189"/>
      <c r="U45" s="189"/>
      <c r="V45" s="189"/>
      <c r="W45" s="189"/>
      <c r="X45" s="189"/>
      <c r="Y45" s="189"/>
      <c r="Z45" s="189"/>
      <c r="AA45" s="189"/>
      <c r="AB45" s="189"/>
    </row>
    <row r="46">
      <c r="A46" s="192" t="s">
        <v>199</v>
      </c>
      <c r="B46" s="192" t="s">
        <v>57</v>
      </c>
      <c r="C46" s="191" t="s">
        <v>107</v>
      </c>
      <c r="D46" s="192" t="s">
        <v>810</v>
      </c>
      <c r="E46" s="189"/>
      <c r="F46" s="189"/>
      <c r="G46" s="189"/>
      <c r="H46" s="190" t="s">
        <v>208</v>
      </c>
      <c r="I46" s="189"/>
      <c r="J46" s="190">
        <v>15.8</v>
      </c>
      <c r="K46" s="189"/>
      <c r="L46" s="190" t="s">
        <v>6</v>
      </c>
      <c r="M46" s="189"/>
      <c r="N46" s="202"/>
      <c r="O46" s="193"/>
      <c r="P46" s="189"/>
      <c r="Q46" s="189"/>
      <c r="R46" s="189"/>
      <c r="S46" s="189"/>
      <c r="T46" s="189"/>
      <c r="U46" s="189"/>
      <c r="V46" s="189"/>
      <c r="W46" s="189"/>
      <c r="X46" s="189"/>
      <c r="Y46" s="189"/>
      <c r="Z46" s="189"/>
      <c r="AA46" s="189"/>
      <c r="AB46" s="189"/>
    </row>
    <row r="47">
      <c r="A47" s="192" t="s">
        <v>199</v>
      </c>
      <c r="B47" s="192" t="s">
        <v>57</v>
      </c>
      <c r="C47" s="191" t="s">
        <v>811</v>
      </c>
      <c r="D47" s="192" t="s">
        <v>803</v>
      </c>
      <c r="E47" s="189"/>
      <c r="F47" s="189"/>
      <c r="G47" s="189"/>
      <c r="H47" s="190"/>
      <c r="I47" s="189"/>
      <c r="J47" s="190"/>
      <c r="K47" s="189"/>
      <c r="L47" s="190"/>
      <c r="M47" s="189"/>
      <c r="N47" s="202"/>
      <c r="O47" s="193"/>
      <c r="P47" s="189"/>
      <c r="Q47" s="189"/>
      <c r="R47" s="189"/>
      <c r="S47" s="189"/>
      <c r="T47" s="189"/>
      <c r="U47" s="189"/>
      <c r="V47" s="189"/>
      <c r="W47" s="189"/>
      <c r="X47" s="189"/>
      <c r="Y47" s="189"/>
      <c r="Z47" s="189"/>
      <c r="AA47" s="189"/>
      <c r="AB47" s="189"/>
    </row>
    <row r="48">
      <c r="A48" s="192" t="s">
        <v>199</v>
      </c>
      <c r="B48" s="192" t="s">
        <v>57</v>
      </c>
      <c r="C48" s="191" t="s">
        <v>811</v>
      </c>
      <c r="D48" s="192" t="s">
        <v>804</v>
      </c>
      <c r="E48" s="189"/>
      <c r="F48" s="189"/>
      <c r="G48" s="189"/>
      <c r="H48" s="190"/>
      <c r="I48" s="189"/>
      <c r="J48" s="190"/>
      <c r="K48" s="189"/>
      <c r="L48" s="190"/>
      <c r="M48" s="189"/>
      <c r="N48" s="202"/>
      <c r="O48" s="193"/>
      <c r="P48" s="189"/>
      <c r="Q48" s="189"/>
      <c r="R48" s="189"/>
      <c r="S48" s="189"/>
      <c r="T48" s="189"/>
      <c r="U48" s="189"/>
      <c r="V48" s="189"/>
      <c r="W48" s="189"/>
      <c r="X48" s="189"/>
      <c r="Y48" s="189"/>
      <c r="Z48" s="189"/>
      <c r="AA48" s="189"/>
      <c r="AB48" s="189"/>
    </row>
    <row r="49">
      <c r="A49" s="192" t="s">
        <v>199</v>
      </c>
      <c r="B49" s="192" t="s">
        <v>57</v>
      </c>
      <c r="C49" s="191" t="s">
        <v>294</v>
      </c>
      <c r="D49" s="192" t="s">
        <v>796</v>
      </c>
      <c r="E49" s="189"/>
      <c r="F49" s="189"/>
      <c r="G49" s="189"/>
      <c r="H49" s="190"/>
      <c r="I49" s="189"/>
      <c r="J49" s="190">
        <v>15.2</v>
      </c>
      <c r="K49" s="189"/>
      <c r="L49" s="190"/>
      <c r="M49" s="189"/>
      <c r="N49" s="202"/>
      <c r="O49" s="193"/>
      <c r="P49" s="189"/>
      <c r="Q49" s="189"/>
      <c r="R49" s="189"/>
      <c r="S49" s="189"/>
      <c r="T49" s="189"/>
      <c r="U49" s="189"/>
      <c r="V49" s="189"/>
      <c r="W49" s="189"/>
      <c r="X49" s="189"/>
      <c r="Y49" s="189"/>
      <c r="Z49" s="189"/>
      <c r="AA49" s="189"/>
      <c r="AB49" s="189"/>
    </row>
    <row r="50">
      <c r="A50" s="192" t="s">
        <v>199</v>
      </c>
      <c r="B50" s="192" t="s">
        <v>57</v>
      </c>
      <c r="C50" s="191" t="s">
        <v>812</v>
      </c>
      <c r="D50" s="192" t="s">
        <v>797</v>
      </c>
      <c r="E50" s="189"/>
      <c r="F50" s="189"/>
      <c r="G50" s="189"/>
      <c r="H50" s="190"/>
      <c r="I50" s="189"/>
      <c r="J50" s="192">
        <v>15.2</v>
      </c>
      <c r="K50" s="189"/>
      <c r="L50" s="190"/>
      <c r="M50" s="189"/>
      <c r="N50" s="202"/>
      <c r="O50" s="204" t="s">
        <v>813</v>
      </c>
      <c r="P50" s="189"/>
      <c r="Q50" s="189"/>
      <c r="R50" s="189"/>
      <c r="S50" s="189"/>
      <c r="T50" s="189"/>
      <c r="U50" s="189"/>
      <c r="V50" s="189"/>
      <c r="W50" s="189"/>
      <c r="X50" s="189"/>
      <c r="Y50" s="189"/>
      <c r="Z50" s="189"/>
      <c r="AA50" s="189"/>
      <c r="AB50" s="189"/>
    </row>
    <row r="51">
      <c r="A51" s="192" t="s">
        <v>199</v>
      </c>
      <c r="B51" s="192" t="s">
        <v>57</v>
      </c>
      <c r="C51" s="191" t="s">
        <v>812</v>
      </c>
      <c r="D51" s="192" t="s">
        <v>814</v>
      </c>
      <c r="E51" s="189"/>
      <c r="F51" s="189"/>
      <c r="G51" s="189"/>
      <c r="H51" s="190"/>
      <c r="I51" s="189"/>
      <c r="J51" s="190">
        <v>1.5</v>
      </c>
      <c r="K51" s="189"/>
      <c r="L51" s="190"/>
      <c r="M51" s="189"/>
      <c r="N51" s="202"/>
      <c r="O51" s="193"/>
      <c r="P51" s="189"/>
      <c r="Q51" s="189"/>
      <c r="R51" s="189"/>
      <c r="S51" s="189"/>
      <c r="T51" s="189"/>
      <c r="U51" s="189"/>
      <c r="V51" s="189"/>
      <c r="W51" s="189"/>
      <c r="X51" s="189"/>
      <c r="Y51" s="189"/>
      <c r="Z51" s="189"/>
      <c r="AA51" s="189"/>
      <c r="AB51" s="189"/>
    </row>
    <row r="52">
      <c r="A52" s="192" t="s">
        <v>199</v>
      </c>
      <c r="B52" s="192" t="s">
        <v>57</v>
      </c>
      <c r="C52" s="191" t="s">
        <v>815</v>
      </c>
      <c r="D52" s="192" t="s">
        <v>816</v>
      </c>
      <c r="E52" s="189"/>
      <c r="F52" s="189"/>
      <c r="G52" s="189"/>
      <c r="H52" s="190"/>
      <c r="I52" s="189"/>
      <c r="J52" s="190"/>
      <c r="K52" s="189"/>
      <c r="L52" s="190"/>
      <c r="M52" s="189"/>
      <c r="N52" s="202"/>
      <c r="O52" s="193"/>
      <c r="P52" s="189"/>
      <c r="Q52" s="189"/>
      <c r="R52" s="189"/>
      <c r="S52" s="189"/>
      <c r="T52" s="189"/>
      <c r="U52" s="189"/>
      <c r="V52" s="189"/>
      <c r="W52" s="189"/>
      <c r="X52" s="189"/>
      <c r="Y52" s="189"/>
      <c r="Z52" s="189"/>
      <c r="AA52" s="189"/>
      <c r="AB52" s="189"/>
    </row>
    <row r="53">
      <c r="A53" s="192" t="s">
        <v>199</v>
      </c>
      <c r="B53" s="192" t="s">
        <v>57</v>
      </c>
      <c r="C53" s="191" t="s">
        <v>815</v>
      </c>
      <c r="D53" s="192" t="s">
        <v>817</v>
      </c>
      <c r="E53" s="189"/>
      <c r="F53" s="189"/>
      <c r="G53" s="189"/>
      <c r="H53" s="190"/>
      <c r="I53" s="189"/>
      <c r="J53" s="190"/>
      <c r="K53" s="189"/>
      <c r="L53" s="190"/>
      <c r="M53" s="189"/>
      <c r="N53" s="202"/>
      <c r="O53" s="193"/>
      <c r="P53" s="189"/>
      <c r="Q53" s="189"/>
      <c r="R53" s="189"/>
      <c r="S53" s="189"/>
      <c r="T53" s="189"/>
      <c r="U53" s="189"/>
      <c r="V53" s="189"/>
      <c r="W53" s="189"/>
      <c r="X53" s="189"/>
      <c r="Y53" s="189"/>
      <c r="Z53" s="189"/>
      <c r="AA53" s="189"/>
      <c r="AB53" s="189"/>
    </row>
    <row r="54">
      <c r="A54" s="192" t="s">
        <v>199</v>
      </c>
      <c r="B54" s="192" t="s">
        <v>57</v>
      </c>
      <c r="C54" s="191" t="s">
        <v>812</v>
      </c>
      <c r="D54" s="192" t="s">
        <v>805</v>
      </c>
      <c r="E54" s="189"/>
      <c r="F54" s="189"/>
      <c r="G54" s="189"/>
      <c r="H54" s="190"/>
      <c r="I54" s="189"/>
      <c r="J54" s="190">
        <v>1.6</v>
      </c>
      <c r="K54" s="189"/>
      <c r="L54" s="190"/>
      <c r="M54" s="189"/>
      <c r="N54" s="202"/>
      <c r="O54" s="193"/>
      <c r="P54" s="189"/>
      <c r="Q54" s="189"/>
      <c r="R54" s="189"/>
      <c r="S54" s="189"/>
      <c r="T54" s="189"/>
      <c r="U54" s="189"/>
      <c r="V54" s="189"/>
      <c r="W54" s="189"/>
      <c r="X54" s="189"/>
      <c r="Y54" s="189"/>
      <c r="Z54" s="189"/>
      <c r="AA54" s="189"/>
      <c r="AB54" s="189"/>
    </row>
    <row r="55">
      <c r="A55" s="192" t="s">
        <v>199</v>
      </c>
      <c r="B55" s="192" t="s">
        <v>57</v>
      </c>
      <c r="C55" s="191" t="s">
        <v>818</v>
      </c>
      <c r="D55" s="192" t="s">
        <v>796</v>
      </c>
      <c r="E55" s="189"/>
      <c r="F55" s="189"/>
      <c r="G55" s="189"/>
      <c r="H55" s="190"/>
      <c r="I55" s="189"/>
      <c r="J55" s="190"/>
      <c r="K55" s="189"/>
      <c r="L55" s="190"/>
      <c r="M55" s="189"/>
      <c r="N55" s="202"/>
      <c r="O55" s="193"/>
      <c r="P55" s="189"/>
      <c r="Q55" s="189"/>
      <c r="R55" s="189"/>
      <c r="S55" s="189"/>
      <c r="T55" s="189"/>
      <c r="U55" s="189"/>
      <c r="V55" s="189"/>
      <c r="W55" s="189"/>
      <c r="X55" s="189"/>
      <c r="Y55" s="189"/>
      <c r="Z55" s="189"/>
      <c r="AA55" s="189"/>
      <c r="AB55" s="189"/>
    </row>
    <row r="56">
      <c r="A56" s="192" t="s">
        <v>199</v>
      </c>
      <c r="B56" s="192" t="s">
        <v>57</v>
      </c>
      <c r="C56" s="191" t="s">
        <v>819</v>
      </c>
      <c r="D56" s="192" t="s">
        <v>797</v>
      </c>
      <c r="E56" s="189"/>
      <c r="F56" s="189"/>
      <c r="G56" s="189"/>
      <c r="H56" s="190"/>
      <c r="I56" s="189"/>
      <c r="J56" s="190"/>
      <c r="K56" s="189"/>
      <c r="L56" s="190"/>
      <c r="M56" s="189"/>
      <c r="N56" s="202"/>
      <c r="O56" s="193"/>
      <c r="P56" s="189"/>
      <c r="Q56" s="189"/>
      <c r="R56" s="189"/>
      <c r="S56" s="189"/>
      <c r="T56" s="189"/>
      <c r="U56" s="189"/>
      <c r="V56" s="189"/>
      <c r="W56" s="189"/>
      <c r="X56" s="189"/>
      <c r="Y56" s="189"/>
      <c r="Z56" s="189"/>
      <c r="AA56" s="189"/>
      <c r="AB56" s="189"/>
    </row>
    <row r="57">
      <c r="A57" s="192" t="s">
        <v>199</v>
      </c>
      <c r="B57" s="192" t="s">
        <v>57</v>
      </c>
      <c r="C57" s="191" t="s">
        <v>819</v>
      </c>
      <c r="D57" s="192" t="s">
        <v>814</v>
      </c>
      <c r="E57" s="189"/>
      <c r="F57" s="189"/>
      <c r="G57" s="189"/>
      <c r="H57" s="190"/>
      <c r="I57" s="189"/>
      <c r="J57" s="190"/>
      <c r="K57" s="189"/>
      <c r="L57" s="190"/>
      <c r="M57" s="189"/>
      <c r="N57" s="202"/>
      <c r="O57" s="193"/>
      <c r="P57" s="189"/>
      <c r="Q57" s="189"/>
      <c r="R57" s="189"/>
      <c r="S57" s="189"/>
      <c r="T57" s="189"/>
      <c r="U57" s="189"/>
      <c r="V57" s="189"/>
      <c r="W57" s="189"/>
      <c r="X57" s="189"/>
      <c r="Y57" s="189"/>
      <c r="Z57" s="189"/>
      <c r="AA57" s="189"/>
      <c r="AB57" s="189"/>
    </row>
    <row r="58">
      <c r="A58" s="192" t="s">
        <v>199</v>
      </c>
      <c r="B58" s="192" t="s">
        <v>57</v>
      </c>
      <c r="C58" s="191" t="s">
        <v>820</v>
      </c>
      <c r="D58" s="192" t="s">
        <v>816</v>
      </c>
      <c r="E58" s="189"/>
      <c r="F58" s="189"/>
      <c r="G58" s="189"/>
      <c r="H58" s="190"/>
      <c r="I58" s="189"/>
      <c r="J58" s="190"/>
      <c r="K58" s="189"/>
      <c r="L58" s="190"/>
      <c r="M58" s="189"/>
      <c r="N58" s="202"/>
      <c r="O58" s="193"/>
      <c r="P58" s="189"/>
      <c r="Q58" s="189"/>
      <c r="R58" s="189"/>
      <c r="S58" s="189"/>
      <c r="T58" s="189"/>
      <c r="U58" s="189"/>
      <c r="V58" s="189"/>
      <c r="W58" s="189"/>
      <c r="X58" s="189"/>
      <c r="Y58" s="189"/>
      <c r="Z58" s="189"/>
      <c r="AA58" s="189"/>
      <c r="AB58" s="189"/>
    </row>
    <row r="59">
      <c r="A59" s="192" t="s">
        <v>199</v>
      </c>
      <c r="B59" s="192" t="s">
        <v>57</v>
      </c>
      <c r="C59" s="191" t="s">
        <v>820</v>
      </c>
      <c r="D59" s="192" t="s">
        <v>817</v>
      </c>
      <c r="E59" s="189"/>
      <c r="F59" s="189"/>
      <c r="G59" s="189"/>
      <c r="H59" s="190"/>
      <c r="I59" s="189"/>
      <c r="J59" s="190"/>
      <c r="K59" s="189"/>
      <c r="L59" s="190"/>
      <c r="M59" s="189"/>
      <c r="N59" s="202"/>
      <c r="O59" s="193"/>
      <c r="P59" s="189"/>
      <c r="Q59" s="189"/>
      <c r="R59" s="189"/>
      <c r="S59" s="189"/>
      <c r="T59" s="189"/>
      <c r="U59" s="189"/>
      <c r="V59" s="189"/>
      <c r="W59" s="189"/>
      <c r="X59" s="189"/>
      <c r="Y59" s="189"/>
      <c r="Z59" s="189"/>
      <c r="AA59" s="189"/>
      <c r="AB59" s="189"/>
    </row>
    <row r="60">
      <c r="A60" s="192" t="s">
        <v>199</v>
      </c>
      <c r="B60" s="192" t="s">
        <v>57</v>
      </c>
      <c r="C60" s="191" t="s">
        <v>819</v>
      </c>
      <c r="D60" s="192" t="s">
        <v>805</v>
      </c>
      <c r="E60" s="189"/>
      <c r="F60" s="189"/>
      <c r="G60" s="189"/>
      <c r="H60" s="190"/>
      <c r="I60" s="189"/>
      <c r="J60" s="190"/>
      <c r="K60" s="189"/>
      <c r="L60" s="190"/>
      <c r="M60" s="189"/>
      <c r="N60" s="202"/>
      <c r="O60" s="193"/>
      <c r="P60" s="189"/>
      <c r="Q60" s="189"/>
      <c r="R60" s="189"/>
      <c r="S60" s="189"/>
      <c r="T60" s="189"/>
      <c r="U60" s="189"/>
      <c r="V60" s="189"/>
      <c r="W60" s="189"/>
      <c r="X60" s="189"/>
      <c r="Y60" s="189"/>
      <c r="Z60" s="189"/>
      <c r="AA60" s="189"/>
      <c r="AB60" s="189"/>
    </row>
    <row r="61">
      <c r="A61" s="192" t="s">
        <v>199</v>
      </c>
      <c r="B61" s="192" t="s">
        <v>57</v>
      </c>
      <c r="C61" s="191" t="s">
        <v>821</v>
      </c>
      <c r="D61" s="192" t="s">
        <v>796</v>
      </c>
      <c r="E61" s="189"/>
      <c r="F61" s="189"/>
      <c r="G61" s="189"/>
      <c r="H61" s="190"/>
      <c r="I61" s="189"/>
      <c r="J61" s="190"/>
      <c r="K61" s="189"/>
      <c r="L61" s="190"/>
      <c r="M61" s="189"/>
      <c r="N61" s="202"/>
      <c r="O61" s="193"/>
      <c r="P61" s="189"/>
      <c r="Q61" s="189"/>
      <c r="R61" s="189"/>
      <c r="S61" s="189"/>
      <c r="T61" s="189"/>
      <c r="U61" s="189"/>
      <c r="V61" s="189"/>
      <c r="W61" s="189"/>
      <c r="X61" s="189"/>
      <c r="Y61" s="189"/>
      <c r="Z61" s="189"/>
      <c r="AA61" s="189"/>
      <c r="AB61" s="189"/>
    </row>
    <row r="62">
      <c r="A62" s="192" t="s">
        <v>199</v>
      </c>
      <c r="B62" s="192" t="s">
        <v>57</v>
      </c>
      <c r="C62" s="191" t="s">
        <v>822</v>
      </c>
      <c r="D62" s="192" t="s">
        <v>797</v>
      </c>
      <c r="E62" s="189"/>
      <c r="F62" s="189"/>
      <c r="G62" s="189"/>
      <c r="H62" s="190"/>
      <c r="I62" s="189"/>
      <c r="J62" s="190"/>
      <c r="K62" s="189"/>
      <c r="L62" s="190"/>
      <c r="M62" s="189"/>
      <c r="N62" s="202"/>
      <c r="O62" s="193"/>
      <c r="P62" s="189"/>
      <c r="Q62" s="189"/>
      <c r="R62" s="189"/>
      <c r="S62" s="189"/>
      <c r="T62" s="189"/>
      <c r="U62" s="189"/>
      <c r="V62" s="189"/>
      <c r="W62" s="189"/>
      <c r="X62" s="189"/>
      <c r="Y62" s="189"/>
      <c r="Z62" s="189"/>
      <c r="AA62" s="189"/>
      <c r="AB62" s="189"/>
    </row>
    <row r="63">
      <c r="A63" s="192" t="s">
        <v>199</v>
      </c>
      <c r="B63" s="192" t="s">
        <v>57</v>
      </c>
      <c r="C63" s="191" t="s">
        <v>822</v>
      </c>
      <c r="D63" s="192" t="s">
        <v>814</v>
      </c>
      <c r="E63" s="189"/>
      <c r="F63" s="189"/>
      <c r="G63" s="189"/>
      <c r="H63" s="190"/>
      <c r="I63" s="189"/>
      <c r="J63" s="190"/>
      <c r="K63" s="189"/>
      <c r="L63" s="190"/>
      <c r="M63" s="189"/>
      <c r="N63" s="202"/>
      <c r="O63" s="193"/>
      <c r="P63" s="189"/>
      <c r="Q63" s="189"/>
      <c r="R63" s="189"/>
      <c r="S63" s="189"/>
      <c r="T63" s="189"/>
      <c r="U63" s="189"/>
      <c r="V63" s="189"/>
      <c r="W63" s="189"/>
      <c r="X63" s="189"/>
      <c r="Y63" s="189"/>
      <c r="Z63" s="189"/>
      <c r="AA63" s="189"/>
      <c r="AB63" s="189"/>
    </row>
    <row r="64">
      <c r="A64" s="192" t="s">
        <v>199</v>
      </c>
      <c r="B64" s="192" t="s">
        <v>57</v>
      </c>
      <c r="C64" s="191" t="s">
        <v>823</v>
      </c>
      <c r="D64" s="192" t="s">
        <v>816</v>
      </c>
      <c r="E64" s="189"/>
      <c r="F64" s="189"/>
      <c r="G64" s="189"/>
      <c r="H64" s="190"/>
      <c r="I64" s="189"/>
      <c r="J64" s="190"/>
      <c r="K64" s="189"/>
      <c r="L64" s="190"/>
      <c r="M64" s="189"/>
      <c r="N64" s="202"/>
      <c r="O64" s="193"/>
      <c r="P64" s="189"/>
      <c r="Q64" s="189"/>
      <c r="R64" s="189"/>
      <c r="S64" s="189"/>
      <c r="T64" s="189"/>
      <c r="U64" s="189"/>
      <c r="V64" s="189"/>
      <c r="W64" s="189"/>
      <c r="X64" s="189"/>
      <c r="Y64" s="189"/>
      <c r="Z64" s="189"/>
      <c r="AA64" s="189"/>
      <c r="AB64" s="189"/>
    </row>
    <row r="65">
      <c r="A65" s="192" t="s">
        <v>199</v>
      </c>
      <c r="B65" s="192" t="s">
        <v>57</v>
      </c>
      <c r="C65" s="191" t="s">
        <v>823</v>
      </c>
      <c r="D65" s="192" t="s">
        <v>817</v>
      </c>
      <c r="E65" s="189"/>
      <c r="F65" s="189"/>
      <c r="G65" s="189"/>
      <c r="H65" s="190"/>
      <c r="I65" s="189"/>
      <c r="J65" s="190"/>
      <c r="K65" s="189"/>
      <c r="L65" s="190"/>
      <c r="M65" s="189"/>
      <c r="N65" s="202"/>
      <c r="O65" s="193"/>
      <c r="P65" s="189"/>
      <c r="Q65" s="189"/>
      <c r="R65" s="189"/>
      <c r="S65" s="189"/>
      <c r="T65" s="189"/>
      <c r="U65" s="189"/>
      <c r="V65" s="189"/>
      <c r="W65" s="189"/>
      <c r="X65" s="189"/>
      <c r="Y65" s="189"/>
      <c r="Z65" s="189"/>
      <c r="AA65" s="189"/>
      <c r="AB65" s="189"/>
    </row>
    <row r="66">
      <c r="A66" s="192" t="s">
        <v>199</v>
      </c>
      <c r="B66" s="192" t="s">
        <v>57</v>
      </c>
      <c r="C66" s="191" t="s">
        <v>822</v>
      </c>
      <c r="D66" s="192" t="s">
        <v>805</v>
      </c>
      <c r="E66" s="189"/>
      <c r="F66" s="189"/>
      <c r="G66" s="189"/>
      <c r="H66" s="190"/>
      <c r="I66" s="189"/>
      <c r="J66" s="190"/>
      <c r="K66" s="189"/>
      <c r="L66" s="190"/>
      <c r="M66" s="189"/>
      <c r="N66" s="202"/>
      <c r="O66" s="193"/>
      <c r="P66" s="189"/>
      <c r="Q66" s="189"/>
      <c r="R66" s="189"/>
      <c r="S66" s="189"/>
      <c r="T66" s="189"/>
      <c r="U66" s="189"/>
      <c r="V66" s="189"/>
      <c r="W66" s="189"/>
      <c r="X66" s="189"/>
      <c r="Y66" s="189"/>
      <c r="Z66" s="189"/>
      <c r="AA66" s="189"/>
      <c r="AB66" s="189"/>
    </row>
    <row r="67">
      <c r="A67" s="192" t="s">
        <v>183</v>
      </c>
      <c r="B67" s="187" t="s">
        <v>20</v>
      </c>
      <c r="C67" s="191" t="s">
        <v>85</v>
      </c>
      <c r="D67" s="29" t="s">
        <v>824</v>
      </c>
      <c r="E67" s="189"/>
      <c r="F67" s="189"/>
      <c r="G67" s="189"/>
      <c r="H67" s="190"/>
      <c r="I67" s="189"/>
      <c r="J67" s="190"/>
      <c r="K67" s="189"/>
      <c r="L67" s="189"/>
      <c r="M67" s="189"/>
      <c r="N67" s="202"/>
      <c r="O67" s="204" t="s">
        <v>825</v>
      </c>
      <c r="P67" s="189"/>
      <c r="Q67" s="189"/>
      <c r="R67" s="189"/>
      <c r="S67" s="189"/>
      <c r="T67" s="189"/>
      <c r="U67" s="189"/>
      <c r="V67" s="189"/>
      <c r="W67" s="189"/>
      <c r="X67" s="189"/>
      <c r="Y67" s="189"/>
      <c r="Z67" s="189"/>
      <c r="AA67" s="189"/>
      <c r="AB67" s="189"/>
    </row>
    <row r="68">
      <c r="A68" s="196" t="s">
        <v>183</v>
      </c>
      <c r="B68" s="197" t="s">
        <v>20</v>
      </c>
      <c r="C68" s="195" t="s">
        <v>85</v>
      </c>
      <c r="D68" s="21" t="s">
        <v>826</v>
      </c>
      <c r="E68" s="197" t="s">
        <v>827</v>
      </c>
      <c r="F68" s="198"/>
      <c r="G68" s="198"/>
      <c r="H68" s="194"/>
      <c r="I68" s="198"/>
      <c r="J68" s="194"/>
      <c r="K68" s="198"/>
      <c r="L68" s="198"/>
      <c r="M68" s="198"/>
      <c r="N68" s="200"/>
      <c r="O68" s="205"/>
      <c r="P68" s="198"/>
      <c r="Q68" s="198"/>
      <c r="R68" s="198"/>
      <c r="S68" s="198"/>
      <c r="T68" s="198"/>
      <c r="U68" s="198"/>
      <c r="V68" s="198"/>
      <c r="W68" s="198"/>
      <c r="X68" s="198"/>
      <c r="Y68" s="198"/>
      <c r="Z68" s="198"/>
      <c r="AA68" s="198"/>
      <c r="AB68" s="198"/>
    </row>
    <row r="69">
      <c r="A69" s="190" t="s">
        <v>183</v>
      </c>
      <c r="B69" s="220" t="s">
        <v>35</v>
      </c>
      <c r="C69" s="191" t="s">
        <v>828</v>
      </c>
      <c r="D69" s="192" t="s">
        <v>829</v>
      </c>
      <c r="E69" s="189"/>
      <c r="F69" s="190" t="s">
        <v>180</v>
      </c>
      <c r="G69" s="190" t="s">
        <v>191</v>
      </c>
      <c r="H69" s="190" t="s">
        <v>207</v>
      </c>
      <c r="I69" s="189"/>
      <c r="J69" s="190" t="s">
        <v>747</v>
      </c>
      <c r="K69" s="190" t="s">
        <v>187</v>
      </c>
      <c r="L69" s="190" t="s">
        <v>830</v>
      </c>
      <c r="M69" s="189"/>
      <c r="N69" s="202"/>
      <c r="O69" s="204" t="s">
        <v>831</v>
      </c>
      <c r="P69" s="189"/>
      <c r="Q69" s="189"/>
      <c r="R69" s="189"/>
      <c r="S69" s="189"/>
      <c r="T69" s="189"/>
      <c r="U69" s="189"/>
      <c r="V69" s="189"/>
      <c r="W69" s="189"/>
      <c r="X69" s="189"/>
      <c r="Y69" s="189"/>
      <c r="Z69" s="189"/>
      <c r="AA69" s="189"/>
      <c r="AB69" s="189"/>
    </row>
    <row r="70">
      <c r="A70" s="192" t="s">
        <v>183</v>
      </c>
      <c r="B70" s="220" t="s">
        <v>35</v>
      </c>
      <c r="C70" s="191" t="s">
        <v>832</v>
      </c>
      <c r="D70" s="29" t="s">
        <v>833</v>
      </c>
      <c r="E70" s="189"/>
      <c r="F70" s="189"/>
      <c r="G70" s="189"/>
      <c r="H70" s="190"/>
      <c r="I70" s="189"/>
      <c r="J70" s="190"/>
      <c r="K70" s="189"/>
      <c r="L70" s="189"/>
      <c r="M70" s="189"/>
      <c r="N70" s="202"/>
      <c r="O70" s="193"/>
      <c r="P70" s="189"/>
      <c r="Q70" s="189"/>
      <c r="R70" s="189"/>
      <c r="S70" s="189"/>
      <c r="T70" s="189"/>
      <c r="U70" s="189"/>
      <c r="V70" s="189"/>
      <c r="W70" s="189"/>
      <c r="X70" s="189"/>
      <c r="Y70" s="189"/>
      <c r="Z70" s="189"/>
      <c r="AA70" s="189"/>
      <c r="AB70" s="189"/>
    </row>
    <row r="71">
      <c r="A71" s="192" t="s">
        <v>183</v>
      </c>
      <c r="B71" s="220" t="s">
        <v>35</v>
      </c>
      <c r="C71" s="191" t="s">
        <v>834</v>
      </c>
      <c r="D71" s="29" t="s">
        <v>835</v>
      </c>
      <c r="E71" s="189"/>
      <c r="F71" s="189"/>
      <c r="G71" s="189"/>
      <c r="H71" s="190"/>
      <c r="I71" s="189"/>
      <c r="J71" s="190"/>
      <c r="K71" s="189"/>
      <c r="L71" s="189"/>
      <c r="M71" s="189"/>
      <c r="N71" s="202"/>
      <c r="O71" s="193"/>
      <c r="P71" s="189"/>
      <c r="Q71" s="189"/>
      <c r="R71" s="189"/>
      <c r="S71" s="189"/>
      <c r="T71" s="189"/>
      <c r="U71" s="189"/>
      <c r="V71" s="189"/>
      <c r="W71" s="189"/>
      <c r="X71" s="189"/>
      <c r="Y71" s="189"/>
      <c r="Z71" s="189"/>
      <c r="AA71" s="189"/>
      <c r="AB71" s="189"/>
    </row>
    <row r="72">
      <c r="A72" s="192" t="s">
        <v>183</v>
      </c>
      <c r="B72" s="220" t="s">
        <v>35</v>
      </c>
      <c r="C72" s="191" t="s">
        <v>123</v>
      </c>
      <c r="D72" s="29" t="s">
        <v>836</v>
      </c>
      <c r="E72" s="187"/>
      <c r="F72" s="189"/>
      <c r="G72" s="189"/>
      <c r="H72" s="190"/>
      <c r="I72" s="189"/>
      <c r="J72" s="190"/>
      <c r="K72" s="189"/>
      <c r="L72" s="189"/>
      <c r="M72" s="189"/>
      <c r="N72" s="202"/>
      <c r="O72" s="193"/>
      <c r="P72" s="189"/>
      <c r="Q72" s="189"/>
      <c r="R72" s="189"/>
      <c r="S72" s="189"/>
      <c r="T72" s="189"/>
      <c r="U72" s="189"/>
      <c r="V72" s="189"/>
      <c r="W72" s="189"/>
      <c r="X72" s="189"/>
      <c r="Y72" s="189"/>
      <c r="Z72" s="189"/>
      <c r="AA72" s="189"/>
      <c r="AB72" s="189"/>
    </row>
    <row r="73">
      <c r="A73" s="192" t="s">
        <v>196</v>
      </c>
      <c r="B73" s="187" t="s">
        <v>43</v>
      </c>
      <c r="C73" s="192" t="s">
        <v>146</v>
      </c>
      <c r="D73" s="29" t="s">
        <v>837</v>
      </c>
      <c r="E73" s="189"/>
      <c r="F73" s="189"/>
      <c r="G73" s="189"/>
      <c r="H73" s="190"/>
      <c r="I73" s="189"/>
      <c r="J73" s="190"/>
      <c r="K73" s="189"/>
      <c r="L73" s="189"/>
      <c r="M73" s="189"/>
      <c r="N73" s="202"/>
      <c r="O73" s="193"/>
      <c r="P73" s="189"/>
      <c r="Q73" s="189"/>
      <c r="R73" s="189"/>
      <c r="S73" s="189"/>
      <c r="T73" s="189"/>
      <c r="U73" s="189"/>
      <c r="V73" s="189"/>
      <c r="W73" s="189"/>
      <c r="X73" s="189"/>
      <c r="Y73" s="189"/>
      <c r="Z73" s="189"/>
      <c r="AA73" s="189"/>
      <c r="AB73" s="189"/>
    </row>
    <row r="74">
      <c r="A74" s="192" t="s">
        <v>196</v>
      </c>
      <c r="B74" s="187" t="s">
        <v>43</v>
      </c>
      <c r="C74" s="192" t="s">
        <v>146</v>
      </c>
      <c r="D74" s="29" t="s">
        <v>838</v>
      </c>
      <c r="E74" s="189"/>
      <c r="F74" s="189"/>
      <c r="G74" s="189"/>
      <c r="H74" s="190"/>
      <c r="I74" s="189"/>
      <c r="J74" s="190"/>
      <c r="K74" s="189"/>
      <c r="L74" s="189"/>
      <c r="M74" s="189"/>
      <c r="N74" s="202"/>
      <c r="O74" s="193"/>
      <c r="P74" s="189"/>
      <c r="Q74" s="189"/>
      <c r="R74" s="189"/>
      <c r="S74" s="189"/>
      <c r="T74" s="189"/>
      <c r="U74" s="189"/>
      <c r="V74" s="189"/>
      <c r="W74" s="189"/>
      <c r="X74" s="189"/>
      <c r="Y74" s="189"/>
      <c r="Z74" s="189"/>
      <c r="AA74" s="189"/>
      <c r="AB74" s="189"/>
    </row>
    <row r="75">
      <c r="A75" s="192" t="s">
        <v>196</v>
      </c>
      <c r="B75" s="187" t="s">
        <v>43</v>
      </c>
      <c r="C75" s="192" t="s">
        <v>146</v>
      </c>
      <c r="D75" s="29" t="s">
        <v>839</v>
      </c>
      <c r="E75" s="189"/>
      <c r="F75" s="189"/>
      <c r="G75" s="189"/>
      <c r="H75" s="190"/>
      <c r="I75" s="189"/>
      <c r="J75" s="190"/>
      <c r="K75" s="189"/>
      <c r="L75" s="189"/>
      <c r="M75" s="189"/>
      <c r="N75" s="202"/>
      <c r="O75" s="193"/>
      <c r="P75" s="189"/>
      <c r="Q75" s="189"/>
      <c r="R75" s="189"/>
      <c r="S75" s="189"/>
      <c r="T75" s="189"/>
      <c r="U75" s="189"/>
      <c r="V75" s="189"/>
      <c r="W75" s="189"/>
      <c r="X75" s="189"/>
      <c r="Y75" s="189"/>
      <c r="Z75" s="189"/>
      <c r="AA75" s="189"/>
      <c r="AB75" s="189"/>
    </row>
    <row r="76">
      <c r="A76" s="221"/>
      <c r="B76" s="222"/>
      <c r="C76" s="221" t="s">
        <v>90</v>
      </c>
      <c r="D76" s="223"/>
      <c r="E76" s="216"/>
      <c r="F76" s="216"/>
      <c r="G76" s="216"/>
      <c r="H76" s="214"/>
      <c r="I76" s="216"/>
      <c r="J76" s="214"/>
      <c r="K76" s="216"/>
      <c r="L76" s="216"/>
      <c r="M76" s="216"/>
      <c r="N76" s="217"/>
      <c r="O76" s="224" t="s">
        <v>840</v>
      </c>
      <c r="P76" s="216"/>
      <c r="Q76" s="216"/>
      <c r="R76" s="216"/>
      <c r="S76" s="216"/>
      <c r="T76" s="216"/>
      <c r="U76" s="216"/>
      <c r="V76" s="216"/>
      <c r="W76" s="216"/>
      <c r="X76" s="216"/>
      <c r="Y76" s="216"/>
      <c r="Z76" s="216"/>
      <c r="AA76" s="216"/>
      <c r="AB76" s="216"/>
    </row>
    <row r="77">
      <c r="A77" s="221"/>
      <c r="B77" s="222"/>
      <c r="C77" s="221" t="s">
        <v>146</v>
      </c>
      <c r="D77" s="223"/>
      <c r="E77" s="216"/>
      <c r="F77" s="216"/>
      <c r="G77" s="216"/>
      <c r="H77" s="214"/>
      <c r="I77" s="216"/>
      <c r="J77" s="214"/>
      <c r="K77" s="216"/>
      <c r="L77" s="216"/>
      <c r="M77" s="216"/>
      <c r="N77" s="217"/>
      <c r="O77" s="224"/>
      <c r="P77" s="216"/>
      <c r="Q77" s="216"/>
      <c r="R77" s="216"/>
      <c r="S77" s="216"/>
      <c r="T77" s="216"/>
      <c r="U77" s="216"/>
      <c r="V77" s="216"/>
      <c r="W77" s="216"/>
      <c r="X77" s="216"/>
      <c r="Y77" s="216"/>
      <c r="Z77" s="216"/>
      <c r="AA77" s="216"/>
      <c r="AB77" s="216"/>
    </row>
  </sheetData>
  <autoFilter ref="$A$1:$AB$77"/>
  <dataValidations>
    <dataValidation type="list" allowBlank="1" showErrorMessage="1" sqref="G3:G77">
      <formula1>priority</formula1>
    </dataValidation>
    <dataValidation type="list" allowBlank="1" showErrorMessage="1" sqref="F3:F77">
      <formula1>status</formula1>
    </dataValidation>
    <dataValidation type="list" allowBlank="1" showErrorMessage="1" sqref="H3:H77">
      <formula1>people</formula1>
    </dataValidation>
    <dataValidation type="list" allowBlank="1" showErrorMessage="1" sqref="C2:C77">
      <formula1>focus_areas</formula1>
    </dataValidation>
    <dataValidation type="list" allowBlank="1" showErrorMessage="1" sqref="B2:B77">
      <formula1>dept_objs_resource_isr</formula1>
    </dataValidation>
    <dataValidation type="list" allowBlank="1" showErrorMessage="1" sqref="K3:K77">
      <formula1>quarters</formula1>
    </dataValidation>
    <dataValidation type="list" allowBlank="1" showErrorMessage="1" sqref="A2:A77">
      <formula1>strategic_goals</formula1>
    </dataValidation>
    <dataValidation type="list" allowBlank="1" showErrorMessage="1" sqref="L3:M77">
      <formula1>depts</formula1>
    </dataValidation>
    <dataValidation type="custom" allowBlank="1" showDropDown="1" sqref="J3:J77">
      <formula1>OR(NOT(ISERROR(DATEVALUE(J3))), AND(ISNUMBER(J3), LEFT(CELL("format", J3))="D"))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28" width="15.5"/>
  </cols>
  <sheetData>
    <row r="1">
      <c r="A1" s="225" t="s">
        <v>215</v>
      </c>
      <c r="B1" s="225" t="s">
        <v>216</v>
      </c>
      <c r="C1" s="225" t="s">
        <v>217</v>
      </c>
      <c r="D1" s="225" t="s">
        <v>218</v>
      </c>
      <c r="E1" s="225" t="s">
        <v>219</v>
      </c>
      <c r="F1" s="225" t="s">
        <v>220</v>
      </c>
      <c r="G1" s="225" t="s">
        <v>221</v>
      </c>
      <c r="H1" s="225" t="s">
        <v>222</v>
      </c>
      <c r="I1" s="226" t="s">
        <v>223</v>
      </c>
      <c r="J1" s="225" t="s">
        <v>224</v>
      </c>
      <c r="K1" s="225" t="s">
        <v>225</v>
      </c>
      <c r="L1" s="225" t="s">
        <v>226</v>
      </c>
      <c r="M1" s="225" t="s">
        <v>227</v>
      </c>
      <c r="N1" s="225" t="s">
        <v>228</v>
      </c>
      <c r="O1" s="225" t="s">
        <v>229</v>
      </c>
      <c r="P1" s="227"/>
      <c r="Q1" s="227"/>
      <c r="R1" s="227"/>
      <c r="S1" s="227"/>
      <c r="T1" s="227"/>
      <c r="U1" s="227"/>
      <c r="V1" s="227"/>
      <c r="W1" s="227"/>
      <c r="X1" s="227"/>
      <c r="Y1" s="227"/>
      <c r="Z1" s="227"/>
      <c r="AA1" s="227"/>
      <c r="AB1" s="227"/>
    </row>
    <row r="2">
      <c r="A2" s="228" t="s">
        <v>188</v>
      </c>
      <c r="B2" s="228" t="s">
        <v>841</v>
      </c>
      <c r="C2" s="229" t="s">
        <v>842</v>
      </c>
      <c r="D2" s="228" t="s">
        <v>843</v>
      </c>
      <c r="E2" s="228"/>
      <c r="F2" s="228" t="s">
        <v>190</v>
      </c>
      <c r="G2" s="228" t="s">
        <v>175</v>
      </c>
      <c r="H2" s="228" t="s">
        <v>184</v>
      </c>
      <c r="I2" s="230"/>
      <c r="J2" s="231">
        <v>46006.0</v>
      </c>
      <c r="K2" s="228" t="s">
        <v>177</v>
      </c>
      <c r="L2" s="228" t="s">
        <v>210</v>
      </c>
      <c r="M2" s="232" t="s">
        <v>6</v>
      </c>
      <c r="N2" s="233"/>
      <c r="O2" s="234"/>
      <c r="P2" s="230"/>
      <c r="Q2" s="230"/>
      <c r="R2" s="230"/>
      <c r="S2" s="230"/>
      <c r="T2" s="230"/>
      <c r="U2" s="230"/>
      <c r="V2" s="230"/>
      <c r="W2" s="230"/>
      <c r="X2" s="230"/>
      <c r="Y2" s="230"/>
      <c r="Z2" s="230"/>
      <c r="AA2" s="230"/>
      <c r="AB2" s="230"/>
    </row>
    <row r="3">
      <c r="A3" s="228" t="s">
        <v>199</v>
      </c>
      <c r="B3" s="228" t="s">
        <v>22</v>
      </c>
      <c r="C3" s="228" t="s">
        <v>99</v>
      </c>
      <c r="D3" s="228" t="s">
        <v>844</v>
      </c>
      <c r="E3" s="228"/>
      <c r="F3" s="228" t="s">
        <v>174</v>
      </c>
      <c r="G3" s="228" t="s">
        <v>191</v>
      </c>
      <c r="H3" s="228" t="s">
        <v>184</v>
      </c>
      <c r="I3" s="230"/>
      <c r="J3" s="234"/>
      <c r="K3" s="228" t="s">
        <v>192</v>
      </c>
      <c r="L3" s="228"/>
      <c r="M3" s="232" t="s">
        <v>4</v>
      </c>
      <c r="N3" s="235"/>
      <c r="O3" s="234"/>
      <c r="P3" s="230"/>
      <c r="Q3" s="230"/>
      <c r="R3" s="230"/>
      <c r="S3" s="230"/>
      <c r="T3" s="230"/>
      <c r="U3" s="230"/>
      <c r="V3" s="230"/>
      <c r="W3" s="230"/>
      <c r="X3" s="230"/>
      <c r="Y3" s="230"/>
      <c r="Z3" s="230"/>
      <c r="AA3" s="230"/>
      <c r="AB3" s="230"/>
    </row>
    <row r="4">
      <c r="A4" s="228" t="s">
        <v>199</v>
      </c>
      <c r="B4" s="228" t="s">
        <v>29</v>
      </c>
      <c r="C4" s="228" t="s">
        <v>41</v>
      </c>
      <c r="D4" s="228" t="s">
        <v>845</v>
      </c>
      <c r="E4" s="228"/>
      <c r="F4" s="228" t="s">
        <v>190</v>
      </c>
      <c r="G4" s="228" t="s">
        <v>181</v>
      </c>
      <c r="H4" s="228" t="s">
        <v>184</v>
      </c>
      <c r="I4" s="230"/>
      <c r="J4" s="234"/>
      <c r="K4" s="228" t="s">
        <v>177</v>
      </c>
      <c r="L4" s="228"/>
      <c r="M4" s="234"/>
      <c r="N4" s="233"/>
      <c r="O4" s="234"/>
      <c r="P4" s="230"/>
      <c r="Q4" s="230"/>
      <c r="R4" s="230"/>
      <c r="S4" s="230"/>
      <c r="T4" s="230"/>
      <c r="U4" s="230"/>
      <c r="V4" s="230"/>
      <c r="W4" s="230"/>
      <c r="X4" s="230"/>
      <c r="Y4" s="230"/>
      <c r="Z4" s="230"/>
      <c r="AA4" s="230"/>
      <c r="AB4" s="230"/>
    </row>
    <row r="5">
      <c r="A5" s="228" t="s">
        <v>199</v>
      </c>
      <c r="B5" s="228" t="s">
        <v>29</v>
      </c>
      <c r="C5" s="228" t="s">
        <v>41</v>
      </c>
      <c r="D5" s="228" t="s">
        <v>846</v>
      </c>
      <c r="E5" s="228"/>
      <c r="F5" s="228" t="s">
        <v>180</v>
      </c>
      <c r="G5" s="228" t="s">
        <v>181</v>
      </c>
      <c r="H5" s="228" t="s">
        <v>184</v>
      </c>
      <c r="I5" s="230"/>
      <c r="J5" s="234"/>
      <c r="K5" s="228" t="s">
        <v>182</v>
      </c>
      <c r="L5" s="228" t="s">
        <v>211</v>
      </c>
      <c r="M5" s="232" t="s">
        <v>8</v>
      </c>
      <c r="N5" s="233"/>
      <c r="O5" s="234"/>
      <c r="P5" s="230"/>
      <c r="Q5" s="230"/>
      <c r="R5" s="230"/>
      <c r="S5" s="230"/>
      <c r="T5" s="230"/>
      <c r="U5" s="230"/>
      <c r="V5" s="230"/>
      <c r="W5" s="230"/>
      <c r="X5" s="230"/>
      <c r="Y5" s="230"/>
      <c r="Z5" s="230"/>
      <c r="AA5" s="230"/>
      <c r="AB5" s="230"/>
    </row>
    <row r="6">
      <c r="A6" s="228" t="s">
        <v>199</v>
      </c>
      <c r="B6" s="228" t="s">
        <v>29</v>
      </c>
      <c r="C6" s="228" t="s">
        <v>41</v>
      </c>
      <c r="D6" s="228" t="s">
        <v>847</v>
      </c>
      <c r="E6" s="228"/>
      <c r="F6" s="228" t="s">
        <v>185</v>
      </c>
      <c r="G6" s="228" t="s">
        <v>181</v>
      </c>
      <c r="H6" s="228" t="s">
        <v>184</v>
      </c>
      <c r="I6" s="230"/>
      <c r="J6" s="234"/>
      <c r="K6" s="228" t="s">
        <v>848</v>
      </c>
      <c r="L6" s="228" t="s">
        <v>849</v>
      </c>
      <c r="M6" s="232" t="s">
        <v>850</v>
      </c>
      <c r="N6" s="233"/>
      <c r="O6" s="234"/>
      <c r="P6" s="230"/>
      <c r="Q6" s="230"/>
      <c r="R6" s="230"/>
      <c r="S6" s="230"/>
      <c r="T6" s="230"/>
      <c r="U6" s="230"/>
      <c r="V6" s="230"/>
      <c r="W6" s="230"/>
      <c r="X6" s="230"/>
      <c r="Y6" s="230"/>
      <c r="Z6" s="230"/>
      <c r="AA6" s="230"/>
      <c r="AB6" s="230"/>
    </row>
    <row r="7">
      <c r="A7" s="228" t="s">
        <v>199</v>
      </c>
      <c r="B7" s="228" t="s">
        <v>29</v>
      </c>
      <c r="C7" s="228" t="s">
        <v>41</v>
      </c>
      <c r="D7" s="228" t="s">
        <v>851</v>
      </c>
      <c r="E7" s="228"/>
      <c r="F7" s="228" t="s">
        <v>190</v>
      </c>
      <c r="G7" s="228" t="s">
        <v>175</v>
      </c>
      <c r="H7" s="228" t="s">
        <v>184</v>
      </c>
      <c r="I7" s="230"/>
      <c r="J7" s="234"/>
      <c r="K7" s="228" t="s">
        <v>177</v>
      </c>
      <c r="L7" s="228"/>
      <c r="M7" s="234"/>
      <c r="N7" s="233"/>
      <c r="O7" s="234"/>
      <c r="P7" s="230"/>
      <c r="Q7" s="230"/>
      <c r="R7" s="230"/>
      <c r="S7" s="230"/>
      <c r="T7" s="230"/>
      <c r="U7" s="230"/>
      <c r="V7" s="230"/>
      <c r="W7" s="230"/>
      <c r="X7" s="230"/>
      <c r="Y7" s="230"/>
      <c r="Z7" s="230"/>
      <c r="AA7" s="230"/>
      <c r="AB7" s="230"/>
    </row>
    <row r="8">
      <c r="A8" s="228" t="s">
        <v>199</v>
      </c>
      <c r="B8" s="228" t="s">
        <v>29</v>
      </c>
      <c r="C8" s="228" t="s">
        <v>41</v>
      </c>
      <c r="D8" s="228" t="s">
        <v>852</v>
      </c>
      <c r="E8" s="228"/>
      <c r="F8" s="228" t="s">
        <v>198</v>
      </c>
      <c r="G8" s="228" t="s">
        <v>175</v>
      </c>
      <c r="H8" s="228" t="s">
        <v>184</v>
      </c>
      <c r="I8" s="230"/>
      <c r="J8" s="231">
        <v>46156.0</v>
      </c>
      <c r="K8" s="228" t="s">
        <v>187</v>
      </c>
      <c r="L8" s="228"/>
      <c r="M8" s="234"/>
      <c r="N8" s="233"/>
      <c r="O8" s="234"/>
      <c r="P8" s="230"/>
      <c r="Q8" s="230"/>
      <c r="R8" s="230"/>
      <c r="S8" s="230"/>
      <c r="T8" s="230"/>
      <c r="U8" s="230"/>
      <c r="V8" s="230"/>
      <c r="W8" s="230"/>
      <c r="X8" s="230"/>
      <c r="Y8" s="230"/>
      <c r="Z8" s="230"/>
      <c r="AA8" s="230"/>
      <c r="AB8" s="230"/>
    </row>
    <row r="9">
      <c r="A9" s="228" t="s">
        <v>199</v>
      </c>
      <c r="B9" s="228" t="s">
        <v>29</v>
      </c>
      <c r="C9" s="228" t="s">
        <v>41</v>
      </c>
      <c r="D9" s="228" t="s">
        <v>853</v>
      </c>
      <c r="E9" s="228"/>
      <c r="F9" s="228" t="s">
        <v>195</v>
      </c>
      <c r="G9" s="228" t="s">
        <v>181</v>
      </c>
      <c r="H9" s="228" t="s">
        <v>184</v>
      </c>
      <c r="I9" s="230"/>
      <c r="J9" s="231">
        <v>46204.0</v>
      </c>
      <c r="K9" s="228" t="s">
        <v>187</v>
      </c>
      <c r="L9" s="228"/>
      <c r="M9" s="234"/>
      <c r="N9" s="233"/>
      <c r="O9" s="234"/>
      <c r="P9" s="230"/>
      <c r="Q9" s="230"/>
      <c r="R9" s="230"/>
      <c r="S9" s="230"/>
      <c r="T9" s="230"/>
      <c r="U9" s="230"/>
      <c r="V9" s="230"/>
      <c r="W9" s="230"/>
      <c r="X9" s="230"/>
      <c r="Y9" s="230"/>
      <c r="Z9" s="230"/>
      <c r="AA9" s="230"/>
      <c r="AB9" s="230"/>
    </row>
    <row r="10">
      <c r="A10" s="228" t="s">
        <v>199</v>
      </c>
      <c r="B10" s="228" t="s">
        <v>37</v>
      </c>
      <c r="C10" s="228" t="s">
        <v>41</v>
      </c>
      <c r="D10" s="228" t="s">
        <v>854</v>
      </c>
      <c r="E10" s="228"/>
      <c r="F10" s="228" t="s">
        <v>190</v>
      </c>
      <c r="G10" s="228" t="s">
        <v>175</v>
      </c>
      <c r="H10" s="228" t="s">
        <v>184</v>
      </c>
      <c r="I10" s="230"/>
      <c r="J10" s="234"/>
      <c r="K10" s="228" t="s">
        <v>177</v>
      </c>
      <c r="L10" s="228"/>
      <c r="M10" s="234"/>
      <c r="N10" s="233"/>
      <c r="O10" s="234"/>
      <c r="P10" s="230"/>
      <c r="Q10" s="230"/>
      <c r="R10" s="230"/>
      <c r="S10" s="230"/>
      <c r="T10" s="230"/>
      <c r="U10" s="230"/>
      <c r="V10" s="230"/>
      <c r="W10" s="230"/>
      <c r="X10" s="230"/>
      <c r="Y10" s="230"/>
      <c r="Z10" s="230"/>
      <c r="AA10" s="230"/>
      <c r="AB10" s="230"/>
    </row>
    <row r="11">
      <c r="A11" s="228" t="s">
        <v>199</v>
      </c>
      <c r="B11" s="228" t="s">
        <v>45</v>
      </c>
      <c r="C11" s="228" t="s">
        <v>41</v>
      </c>
      <c r="D11" s="228" t="s">
        <v>855</v>
      </c>
      <c r="E11" s="228"/>
      <c r="F11" s="228" t="s">
        <v>190</v>
      </c>
      <c r="G11" s="228" t="s">
        <v>181</v>
      </c>
      <c r="H11" s="228" t="s">
        <v>184</v>
      </c>
      <c r="I11" s="230"/>
      <c r="J11" s="234"/>
      <c r="K11" s="228" t="s">
        <v>177</v>
      </c>
      <c r="L11" s="228"/>
      <c r="M11" s="234"/>
      <c r="N11" s="233"/>
      <c r="O11" s="234"/>
      <c r="P11" s="230"/>
      <c r="Q11" s="230"/>
      <c r="R11" s="230"/>
      <c r="S11" s="230"/>
      <c r="T11" s="230"/>
      <c r="U11" s="230"/>
      <c r="V11" s="230"/>
      <c r="W11" s="230"/>
      <c r="X11" s="230"/>
      <c r="Y11" s="230"/>
      <c r="Z11" s="230"/>
      <c r="AA11" s="230"/>
      <c r="AB11" s="230"/>
    </row>
    <row r="12">
      <c r="A12" s="228" t="s">
        <v>199</v>
      </c>
      <c r="B12" s="228" t="s">
        <v>22</v>
      </c>
      <c r="C12" s="228" t="s">
        <v>109</v>
      </c>
      <c r="D12" s="228" t="s">
        <v>856</v>
      </c>
      <c r="E12" s="228"/>
      <c r="F12" s="228" t="s">
        <v>180</v>
      </c>
      <c r="G12" s="228" t="s">
        <v>181</v>
      </c>
      <c r="H12" s="228" t="s">
        <v>184</v>
      </c>
      <c r="I12" s="230"/>
      <c r="J12" s="234"/>
      <c r="K12" s="228" t="s">
        <v>187</v>
      </c>
      <c r="L12" s="228" t="s">
        <v>194</v>
      </c>
      <c r="M12" s="232" t="s">
        <v>6</v>
      </c>
      <c r="N12" s="233"/>
      <c r="O12" s="234"/>
      <c r="P12" s="230"/>
      <c r="Q12" s="230"/>
      <c r="R12" s="230"/>
      <c r="S12" s="230"/>
      <c r="T12" s="230"/>
      <c r="U12" s="230"/>
      <c r="V12" s="230"/>
      <c r="W12" s="230"/>
      <c r="X12" s="230"/>
      <c r="Y12" s="230"/>
      <c r="Z12" s="230"/>
      <c r="AA12" s="230"/>
      <c r="AB12" s="230"/>
    </row>
    <row r="13">
      <c r="A13" s="228" t="s">
        <v>199</v>
      </c>
      <c r="B13" s="228" t="s">
        <v>22</v>
      </c>
      <c r="C13" s="228" t="s">
        <v>117</v>
      </c>
      <c r="D13" s="228" t="s">
        <v>857</v>
      </c>
      <c r="E13" s="228"/>
      <c r="F13" s="228" t="s">
        <v>180</v>
      </c>
      <c r="G13" s="228" t="s">
        <v>181</v>
      </c>
      <c r="H13" s="228" t="s">
        <v>184</v>
      </c>
      <c r="I13" s="230"/>
      <c r="J13" s="234"/>
      <c r="K13" s="228" t="s">
        <v>187</v>
      </c>
      <c r="L13" s="228"/>
      <c r="M13" s="234"/>
      <c r="N13" s="233"/>
      <c r="O13" s="234"/>
      <c r="P13" s="230"/>
      <c r="Q13" s="230"/>
      <c r="R13" s="230"/>
      <c r="S13" s="230"/>
      <c r="T13" s="230"/>
      <c r="U13" s="230"/>
      <c r="V13" s="230"/>
      <c r="W13" s="230"/>
      <c r="X13" s="230"/>
      <c r="Y13" s="230"/>
      <c r="Z13" s="230"/>
      <c r="AA13" s="230"/>
      <c r="AB13" s="230"/>
    </row>
    <row r="14">
      <c r="A14" s="228" t="s">
        <v>199</v>
      </c>
      <c r="B14" s="228" t="s">
        <v>22</v>
      </c>
      <c r="C14" s="228" t="s">
        <v>117</v>
      </c>
      <c r="D14" s="228" t="s">
        <v>858</v>
      </c>
      <c r="E14" s="228"/>
      <c r="F14" s="228"/>
      <c r="G14" s="228"/>
      <c r="H14" s="228" t="s">
        <v>184</v>
      </c>
      <c r="I14" s="230"/>
      <c r="J14" s="234"/>
      <c r="K14" s="228" t="s">
        <v>192</v>
      </c>
      <c r="L14" s="228"/>
      <c r="M14" s="234"/>
      <c r="N14" s="233"/>
      <c r="O14" s="234"/>
      <c r="P14" s="230"/>
      <c r="Q14" s="230"/>
      <c r="R14" s="230"/>
      <c r="S14" s="230"/>
      <c r="T14" s="230"/>
      <c r="U14" s="230"/>
      <c r="V14" s="230"/>
      <c r="W14" s="230"/>
      <c r="X14" s="230"/>
      <c r="Y14" s="230"/>
      <c r="Z14" s="230"/>
      <c r="AA14" s="230"/>
      <c r="AB14" s="230"/>
    </row>
    <row r="15">
      <c r="A15" s="228" t="s">
        <v>199</v>
      </c>
      <c r="B15" s="228" t="s">
        <v>22</v>
      </c>
      <c r="C15" s="236" t="s">
        <v>125</v>
      </c>
      <c r="D15" s="237" t="s">
        <v>859</v>
      </c>
      <c r="E15" s="236"/>
      <c r="F15" s="228" t="s">
        <v>185</v>
      </c>
      <c r="G15" s="228" t="s">
        <v>181</v>
      </c>
      <c r="H15" s="228" t="s">
        <v>184</v>
      </c>
      <c r="I15" s="230"/>
      <c r="J15" s="234"/>
      <c r="K15" s="228" t="s">
        <v>177</v>
      </c>
      <c r="L15" s="228" t="s">
        <v>860</v>
      </c>
      <c r="M15" s="234"/>
      <c r="N15" s="235"/>
      <c r="O15" s="234"/>
      <c r="P15" s="230"/>
      <c r="Q15" s="230"/>
      <c r="R15" s="230"/>
      <c r="S15" s="230"/>
      <c r="T15" s="230"/>
      <c r="U15" s="230"/>
      <c r="V15" s="230"/>
      <c r="W15" s="230"/>
      <c r="X15" s="230"/>
      <c r="Y15" s="230"/>
      <c r="Z15" s="230"/>
      <c r="AA15" s="230"/>
      <c r="AB15" s="230"/>
    </row>
    <row r="16">
      <c r="A16" s="228" t="s">
        <v>199</v>
      </c>
      <c r="B16" s="228" t="s">
        <v>22</v>
      </c>
      <c r="C16" s="236" t="s">
        <v>125</v>
      </c>
      <c r="D16" s="237" t="s">
        <v>861</v>
      </c>
      <c r="E16" s="236"/>
      <c r="F16" s="228" t="s">
        <v>185</v>
      </c>
      <c r="G16" s="228" t="s">
        <v>181</v>
      </c>
      <c r="H16" s="228" t="s">
        <v>184</v>
      </c>
      <c r="I16" s="230"/>
      <c r="J16" s="231">
        <v>46121.0</v>
      </c>
      <c r="K16" s="228" t="s">
        <v>182</v>
      </c>
      <c r="L16" s="228" t="s">
        <v>860</v>
      </c>
      <c r="M16" s="234"/>
      <c r="N16" s="235"/>
      <c r="O16" s="234"/>
      <c r="P16" s="230"/>
      <c r="Q16" s="230"/>
      <c r="R16" s="230"/>
      <c r="S16" s="230"/>
      <c r="T16" s="230"/>
      <c r="U16" s="230"/>
      <c r="V16" s="230"/>
      <c r="W16" s="230"/>
      <c r="X16" s="230"/>
      <c r="Y16" s="230"/>
      <c r="Z16" s="230"/>
      <c r="AA16" s="230"/>
      <c r="AB16" s="230"/>
    </row>
    <row r="17">
      <c r="A17" s="228" t="s">
        <v>199</v>
      </c>
      <c r="B17" s="228" t="s">
        <v>52</v>
      </c>
      <c r="C17" s="228" t="s">
        <v>122</v>
      </c>
      <c r="D17" s="228" t="s">
        <v>862</v>
      </c>
      <c r="E17" s="228"/>
      <c r="F17" s="228" t="s">
        <v>185</v>
      </c>
      <c r="G17" s="228" t="s">
        <v>186</v>
      </c>
      <c r="H17" s="228" t="s">
        <v>184</v>
      </c>
      <c r="I17" s="230"/>
      <c r="J17" s="234"/>
      <c r="K17" s="228" t="s">
        <v>177</v>
      </c>
      <c r="L17" s="228" t="s">
        <v>863</v>
      </c>
      <c r="M17" s="232" t="s">
        <v>6</v>
      </c>
      <c r="N17" s="233"/>
      <c r="O17" s="234"/>
      <c r="P17" s="230"/>
      <c r="Q17" s="230"/>
      <c r="R17" s="230"/>
      <c r="S17" s="230"/>
      <c r="T17" s="230"/>
      <c r="U17" s="230"/>
      <c r="V17" s="230"/>
      <c r="W17" s="230"/>
      <c r="X17" s="230"/>
      <c r="Y17" s="230"/>
      <c r="Z17" s="230"/>
      <c r="AA17" s="230"/>
      <c r="AB17" s="230"/>
    </row>
    <row r="18" ht="15.0" customHeight="1">
      <c r="A18" s="228" t="s">
        <v>199</v>
      </c>
      <c r="B18" s="228" t="s">
        <v>52</v>
      </c>
      <c r="C18" s="228" t="s">
        <v>122</v>
      </c>
      <c r="D18" s="228" t="s">
        <v>864</v>
      </c>
      <c r="E18" s="228"/>
      <c r="F18" s="228"/>
      <c r="G18" s="228"/>
      <c r="H18" s="228" t="s">
        <v>184</v>
      </c>
      <c r="I18" s="230"/>
      <c r="J18" s="234"/>
      <c r="K18" s="228" t="s">
        <v>192</v>
      </c>
      <c r="L18" s="228"/>
      <c r="M18" s="232"/>
      <c r="N18" s="233"/>
      <c r="O18" s="234"/>
      <c r="P18" s="230"/>
      <c r="Q18" s="230"/>
      <c r="R18" s="230"/>
      <c r="S18" s="230"/>
      <c r="T18" s="230"/>
      <c r="U18" s="230"/>
      <c r="V18" s="230"/>
      <c r="W18" s="230"/>
      <c r="X18" s="230"/>
      <c r="Y18" s="230"/>
      <c r="Z18" s="230"/>
      <c r="AA18" s="230"/>
      <c r="AB18" s="230"/>
    </row>
    <row r="19">
      <c r="A19" s="228" t="s">
        <v>196</v>
      </c>
      <c r="B19" s="228" t="s">
        <v>52</v>
      </c>
      <c r="C19" s="228" t="s">
        <v>136</v>
      </c>
      <c r="D19" s="228" t="s">
        <v>865</v>
      </c>
      <c r="E19" s="228"/>
      <c r="F19" s="228" t="s">
        <v>185</v>
      </c>
      <c r="G19" s="228" t="s">
        <v>186</v>
      </c>
      <c r="H19" s="228" t="s">
        <v>184</v>
      </c>
      <c r="I19" s="230"/>
      <c r="J19" s="234"/>
      <c r="K19" s="228" t="s">
        <v>182</v>
      </c>
      <c r="L19" s="228" t="s">
        <v>179</v>
      </c>
      <c r="M19" s="232" t="s">
        <v>866</v>
      </c>
      <c r="N19" s="233"/>
      <c r="O19" s="234"/>
      <c r="P19" s="230"/>
      <c r="Q19" s="230"/>
      <c r="R19" s="230"/>
      <c r="S19" s="230"/>
      <c r="T19" s="230"/>
      <c r="U19" s="230"/>
      <c r="V19" s="230"/>
      <c r="W19" s="230"/>
      <c r="X19" s="230"/>
      <c r="Y19" s="230"/>
      <c r="Z19" s="230"/>
      <c r="AA19" s="230"/>
      <c r="AB19" s="230"/>
    </row>
    <row r="20">
      <c r="A20" s="228" t="s">
        <v>199</v>
      </c>
      <c r="B20" s="228" t="s">
        <v>22</v>
      </c>
      <c r="C20" s="228" t="s">
        <v>136</v>
      </c>
      <c r="D20" s="228" t="s">
        <v>867</v>
      </c>
      <c r="E20" s="228"/>
      <c r="F20" s="228" t="s">
        <v>174</v>
      </c>
      <c r="G20" s="228" t="s">
        <v>175</v>
      </c>
      <c r="H20" s="228" t="s">
        <v>184</v>
      </c>
      <c r="I20" s="230"/>
      <c r="J20" s="234"/>
      <c r="K20" s="228" t="s">
        <v>182</v>
      </c>
      <c r="L20" s="228" t="s">
        <v>868</v>
      </c>
      <c r="M20" s="232" t="s">
        <v>2</v>
      </c>
      <c r="N20" s="235"/>
      <c r="O20" s="234"/>
      <c r="P20" s="230"/>
      <c r="Q20" s="230"/>
      <c r="R20" s="230"/>
      <c r="S20" s="230"/>
      <c r="T20" s="230"/>
      <c r="U20" s="230"/>
      <c r="V20" s="230"/>
      <c r="W20" s="230"/>
      <c r="X20" s="230"/>
      <c r="Y20" s="230"/>
      <c r="Z20" s="230"/>
      <c r="AA20" s="230"/>
      <c r="AB20" s="230"/>
    </row>
    <row r="21">
      <c r="A21" s="228" t="s">
        <v>199</v>
      </c>
      <c r="B21" s="228" t="s">
        <v>22</v>
      </c>
      <c r="C21" s="228" t="s">
        <v>140</v>
      </c>
      <c r="D21" s="228" t="s">
        <v>869</v>
      </c>
      <c r="E21" s="228"/>
      <c r="F21" s="228" t="s">
        <v>190</v>
      </c>
      <c r="G21" s="228" t="s">
        <v>175</v>
      </c>
      <c r="H21" s="228" t="s">
        <v>184</v>
      </c>
      <c r="I21" s="230"/>
      <c r="J21" s="231">
        <v>46006.0</v>
      </c>
      <c r="K21" s="228" t="s">
        <v>177</v>
      </c>
      <c r="L21" s="228"/>
      <c r="M21" s="234"/>
      <c r="N21" s="233"/>
      <c r="O21" s="234"/>
      <c r="P21" s="230"/>
      <c r="Q21" s="230"/>
      <c r="R21" s="230"/>
      <c r="S21" s="230"/>
      <c r="T21" s="230"/>
      <c r="U21" s="230"/>
      <c r="V21" s="230"/>
      <c r="W21" s="230"/>
      <c r="X21" s="230"/>
      <c r="Y21" s="230"/>
      <c r="Z21" s="230"/>
      <c r="AA21" s="230"/>
      <c r="AB21" s="230"/>
    </row>
    <row r="22">
      <c r="A22" s="228" t="s">
        <v>196</v>
      </c>
      <c r="B22" s="228" t="s">
        <v>52</v>
      </c>
      <c r="C22" s="228" t="s">
        <v>143</v>
      </c>
      <c r="D22" s="228" t="s">
        <v>870</v>
      </c>
      <c r="E22" s="228"/>
      <c r="F22" s="228" t="s">
        <v>198</v>
      </c>
      <c r="G22" s="228" t="s">
        <v>186</v>
      </c>
      <c r="H22" s="228" t="s">
        <v>184</v>
      </c>
      <c r="I22" s="230"/>
      <c r="J22" s="234"/>
      <c r="K22" s="228" t="s">
        <v>848</v>
      </c>
      <c r="L22" s="228"/>
      <c r="M22" s="234"/>
      <c r="N22" s="235"/>
      <c r="O22" s="234"/>
      <c r="P22" s="230"/>
      <c r="Q22" s="230"/>
      <c r="R22" s="230"/>
      <c r="S22" s="230"/>
      <c r="T22" s="230"/>
      <c r="U22" s="230"/>
      <c r="V22" s="230"/>
      <c r="W22" s="230"/>
      <c r="X22" s="230"/>
      <c r="Y22" s="230"/>
      <c r="Z22" s="230"/>
      <c r="AA22" s="230"/>
      <c r="AB22" s="230"/>
    </row>
    <row r="23">
      <c r="A23" s="228" t="s">
        <v>196</v>
      </c>
      <c r="B23" s="228" t="s">
        <v>22</v>
      </c>
      <c r="C23" s="228" t="s">
        <v>143</v>
      </c>
      <c r="D23" s="228" t="s">
        <v>871</v>
      </c>
      <c r="E23" s="228"/>
      <c r="F23" s="228"/>
      <c r="G23" s="228"/>
      <c r="H23" s="228"/>
      <c r="I23" s="230"/>
      <c r="J23" s="234"/>
      <c r="K23" s="228"/>
      <c r="L23" s="228"/>
      <c r="M23" s="234"/>
      <c r="N23" s="235"/>
      <c r="O23" s="234"/>
      <c r="P23" s="230"/>
      <c r="Q23" s="230"/>
      <c r="R23" s="230"/>
      <c r="S23" s="230"/>
      <c r="T23" s="230"/>
      <c r="U23" s="230"/>
      <c r="V23" s="230"/>
      <c r="W23" s="230"/>
      <c r="X23" s="230"/>
      <c r="Y23" s="230"/>
      <c r="Z23" s="230"/>
      <c r="AA23" s="230"/>
      <c r="AB23" s="230"/>
    </row>
    <row r="24">
      <c r="A24" s="228" t="s">
        <v>196</v>
      </c>
      <c r="B24" s="228" t="s">
        <v>22</v>
      </c>
      <c r="C24" s="228" t="s">
        <v>143</v>
      </c>
      <c r="D24" s="228" t="s">
        <v>872</v>
      </c>
      <c r="E24" s="228"/>
      <c r="F24" s="228" t="s">
        <v>185</v>
      </c>
      <c r="G24" s="228" t="s">
        <v>181</v>
      </c>
      <c r="H24" s="228" t="s">
        <v>184</v>
      </c>
      <c r="I24" s="230"/>
      <c r="J24" s="231"/>
      <c r="K24" s="228" t="s">
        <v>182</v>
      </c>
      <c r="L24" s="228"/>
      <c r="M24" s="232" t="s">
        <v>6</v>
      </c>
      <c r="N24" s="233"/>
      <c r="O24" s="234"/>
      <c r="P24" s="230"/>
      <c r="Q24" s="230"/>
      <c r="R24" s="230"/>
      <c r="S24" s="230"/>
      <c r="T24" s="230"/>
      <c r="U24" s="230"/>
      <c r="V24" s="230"/>
      <c r="W24" s="230"/>
      <c r="X24" s="230"/>
      <c r="Y24" s="230"/>
      <c r="Z24" s="230"/>
      <c r="AA24" s="230"/>
      <c r="AB24" s="230"/>
    </row>
    <row r="25">
      <c r="A25" s="228" t="s">
        <v>193</v>
      </c>
      <c r="B25" s="228" t="s">
        <v>52</v>
      </c>
      <c r="C25" s="238" t="s">
        <v>873</v>
      </c>
      <c r="D25" s="239" t="s">
        <v>874</v>
      </c>
      <c r="E25" s="239"/>
      <c r="F25" s="228" t="s">
        <v>185</v>
      </c>
      <c r="G25" s="228" t="s">
        <v>181</v>
      </c>
      <c r="H25" s="228" t="s">
        <v>184</v>
      </c>
      <c r="I25" s="230"/>
      <c r="J25" s="231">
        <v>46040.0</v>
      </c>
      <c r="K25" s="228" t="s">
        <v>182</v>
      </c>
      <c r="L25" s="228" t="s">
        <v>875</v>
      </c>
      <c r="M25" s="232" t="s">
        <v>411</v>
      </c>
      <c r="N25" s="233"/>
      <c r="O25" s="234"/>
      <c r="P25" s="230"/>
      <c r="Q25" s="230"/>
      <c r="R25" s="230"/>
      <c r="S25" s="230"/>
      <c r="T25" s="230"/>
      <c r="U25" s="230"/>
      <c r="V25" s="230"/>
      <c r="W25" s="230"/>
      <c r="X25" s="230"/>
      <c r="Y25" s="230"/>
      <c r="Z25" s="230"/>
      <c r="AA25" s="230"/>
      <c r="AB25" s="230"/>
    </row>
    <row r="26">
      <c r="A26" s="228" t="s">
        <v>193</v>
      </c>
      <c r="B26" s="228" t="s">
        <v>52</v>
      </c>
      <c r="C26" s="238" t="s">
        <v>876</v>
      </c>
      <c r="D26" s="236" t="s">
        <v>877</v>
      </c>
      <c r="E26" s="236"/>
      <c r="F26" s="228" t="s">
        <v>185</v>
      </c>
      <c r="G26" s="228" t="s">
        <v>181</v>
      </c>
      <c r="H26" s="228" t="s">
        <v>184</v>
      </c>
      <c r="I26" s="230"/>
      <c r="J26" s="231">
        <v>46040.0</v>
      </c>
      <c r="K26" s="228" t="s">
        <v>177</v>
      </c>
      <c r="L26" s="228" t="s">
        <v>875</v>
      </c>
      <c r="M26" s="232" t="s">
        <v>411</v>
      </c>
      <c r="N26" s="233"/>
      <c r="O26" s="234"/>
      <c r="P26" s="230"/>
      <c r="Q26" s="230"/>
      <c r="R26" s="230"/>
      <c r="S26" s="230"/>
      <c r="T26" s="230"/>
      <c r="U26" s="230"/>
      <c r="V26" s="230"/>
      <c r="W26" s="230"/>
      <c r="X26" s="230"/>
      <c r="Y26" s="230"/>
      <c r="Z26" s="230"/>
      <c r="AA26" s="230"/>
      <c r="AB26" s="230"/>
    </row>
    <row r="27">
      <c r="A27" s="228" t="s">
        <v>193</v>
      </c>
      <c r="B27" s="228" t="s">
        <v>52</v>
      </c>
      <c r="C27" s="238" t="s">
        <v>878</v>
      </c>
      <c r="D27" s="239" t="s">
        <v>879</v>
      </c>
      <c r="E27" s="239"/>
      <c r="F27" s="228"/>
      <c r="G27" s="228"/>
      <c r="H27" s="228"/>
      <c r="I27" s="230"/>
      <c r="J27" s="231"/>
      <c r="K27" s="228" t="s">
        <v>848</v>
      </c>
      <c r="L27" s="228"/>
      <c r="M27" s="232"/>
      <c r="N27" s="233"/>
      <c r="O27" s="234"/>
      <c r="P27" s="230"/>
      <c r="Q27" s="230"/>
      <c r="R27" s="230"/>
      <c r="S27" s="230"/>
      <c r="T27" s="230"/>
      <c r="U27" s="230"/>
      <c r="V27" s="230"/>
      <c r="W27" s="230"/>
      <c r="X27" s="230"/>
      <c r="Y27" s="230"/>
      <c r="Z27" s="230"/>
      <c r="AA27" s="230"/>
      <c r="AB27" s="230"/>
    </row>
  </sheetData>
  <dataValidations>
    <dataValidation type="list" allowBlank="1" showErrorMessage="1" sqref="G2:G27">
      <formula1>priority</formula1>
    </dataValidation>
    <dataValidation type="list" allowBlank="1" showErrorMessage="1" sqref="L2:L9 L11:L14 H2:H27 L17:L27">
      <formula1>people</formula1>
    </dataValidation>
    <dataValidation type="list" allowBlank="1" showErrorMessage="1" sqref="K2:K27">
      <formula1>quarters</formula1>
    </dataValidation>
    <dataValidation type="list" allowBlank="1" showErrorMessage="1" sqref="M2:M27">
      <formula1>partners</formula1>
    </dataValidation>
    <dataValidation type="list" allowBlank="1" showErrorMessage="1" sqref="F2:F27">
      <formula1>status</formula1>
    </dataValidation>
    <dataValidation type="list" allowBlank="1" showErrorMessage="1" sqref="C2:C27">
      <formula1>focus_areas</formula1>
    </dataValidation>
    <dataValidation type="list" allowBlank="1" showErrorMessage="1" sqref="A2:A27">
      <formula1>strategic_goals</formula1>
    </dataValidation>
    <dataValidation type="custom" allowBlank="1" showDropDown="1" sqref="J2:J27">
      <formula1>OR(NOT(ISERROR(DATEVALUE(J2))), AND(ISNUMBER(J2), LEFT(CELL("format", J2))="D"))</formula1>
    </dataValidation>
  </dataValidations>
  <hyperlinks>
    <hyperlink r:id="rId1" ref="D15"/>
    <hyperlink r:id="rId2" ref="D16"/>
  </hyperlinks>
  <drawing r:id="rId3"/>
  <tableParts count="1">
    <tablePart r:id="rId5"/>
  </tableParts>
</worksheet>
</file>